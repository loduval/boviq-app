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❓ Mode d'Emploi" sheetId="1" state="visible" r:id="rId3"/>
    <sheet name="📋 Suivi Reproduction" sheetId="2" state="visible" r:id="rId4"/>
    <sheet name="Références" sheetId="3" state="visible" r:id="rId5"/>
    <sheet name="📊 Tableau de Bord" sheetId="4" state="visible" r:id="rId6"/>
    <sheet name="🐂 Taureaux" sheetId="5" state="visible" r:id="rId7"/>
  </sheets>
  <definedNames>
    <definedName function="false" hidden="true" localSheetId="1" name="_xlnm._FilterDatabase" vbProcedure="false">'📋 Suivi Reproduction'!$A$3:$R$53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<sst xmlns="http://schemas.openxmlformats.org/spreadsheetml/2006/main" count="110" uniqueCount="98">
  <si>
    <t xml:space="preserve">❓  MODE D'EMPLOI — Comment utiliser ce fichier</t>
  </si>
  <si>
    <t xml:space="preserve">🟢 ÉTAPE 1 : Enregistrer vos taureaux</t>
  </si>
  <si>
    <t xml:space="preserve">Allez dans l'onglet "🐂 Taureaux" et renseignez le nom, la race, le numéro de boucle et la date de naissance de chaque taureau reproducteur.</t>
  </si>
  <si>
    <t xml:space="preserve">🟢 ÉTAPE 2 : Saisir une saillie</t>
  </si>
  <si>
    <t xml:space="preserve">Dans l'onglet "📋 Suivi Reproduction", remplissez les colonnes VERTES :
- Nom de la vache, sa race, son n° de boucle
- Si c'est son premier veau (Primipare = Oui)
- Nom du taureau et sa race
- DATE DE SAILLIE (la plus importante !)</t>
  </si>
  <si>
    <t xml:space="preserve">🔵 ÉTAPE 3 : Les calculs se font tout seuls !</t>
  </si>
  <si>
    <t xml:space="preserve">Les colonnes BLEUES se calculent automatiquement :
- Durée de gestation selon la race
- Date de tarissement prévue
- Date de vêlage prévue
- Prochaine saillie possible
- Statut en cours</t>
  </si>
  <si>
    <t xml:space="preserve">🟠 ÉTAPE 4 : Après le vêlage</t>
  </si>
  <si>
    <t xml:space="preserve">Quand la vache a vêlé, renseignez :
- La date de vêlage réelle
- Le sexe du veau (Mâle / Femelle / Jumeaux)
- Le poids du veau en kg
- La facilité du vêlage (1 à 5)</t>
  </si>
  <si>
    <t xml:space="preserve">📊 ÉTAPE 5 : Consulter le tableau de bord</t>
  </si>
  <si>
    <t xml:space="preserve">L'onglet "📊 Tableau de Bord" vous donne une vue d'ensemble :
- Combien de vaches gestantes, taries, vêlées
- Les alertes pour les vêlages à venir
- Les statistiques de votre troupeau</t>
  </si>
  <si>
    <t xml:space="preserve">📚 AIDE : Comprendre les durées</t>
  </si>
  <si>
    <t xml:space="preserve">L'onglet "Références" contient toutes les durées de gestation par race.
La durée varie de 277 jours (Holstein) à 295 jours (Blonde d'Aquitaine).
Le tarissement doit commencer 45 à 60 jours avant le vêlage prévu.</t>
  </si>
  <si>
    <t xml:space="preserve">⚠️ IMPORTANT</t>
  </si>
  <si>
    <t xml:space="preserve">- NE MODIFIEZ PAS les colonnes bleues (elles contiennent des formules)
- Sauvegardez régulièrement votre fichier
- Les dates doivent être au format JJ/MM/AAAA
- En cas de doute sur une race, choisissez "Autre" (283 jours par défaut)</t>
  </si>
  <si>
    <t xml:space="preserve">🐄  CARNET DE SUIVI REPRODUCTION BOVINE</t>
  </si>
  <si>
    <t xml:space="preserve">Saisir uniquement les colonnes vertes — Les colonnes blanches se calculent automatiquement</t>
  </si>
  <si>
    <t xml:space="preserve">N°</t>
  </si>
  <si>
    <t xml:space="preserve">Nom
de la Vache</t>
  </si>
  <si>
    <t xml:space="preserve">Race
Vache</t>
  </si>
  <si>
    <t xml:space="preserve">N° Boucle
Vache</t>
  </si>
  <si>
    <t xml:space="preserve">Primipare
(Oui/Non)</t>
  </si>
  <si>
    <t xml:space="preserve">Nom du
Taureau</t>
  </si>
  <si>
    <t xml:space="preserve">Race
Taureau</t>
  </si>
  <si>
    <t xml:space="preserve">Date de
Saillie</t>
  </si>
  <si>
    <t xml:space="preserve">Durée Gestation
(jours auto)</t>
  </si>
  <si>
    <t xml:space="preserve">Date Tarissement
Prévue</t>
  </si>
  <si>
    <t xml:space="preserve">Date Vêlage
Prévue</t>
  </si>
  <si>
    <t xml:space="preserve">Date Vêlage
Réelle</t>
  </si>
  <si>
    <t xml:space="preserve">Sexe
Veau</t>
  </si>
  <si>
    <t xml:space="preserve">Poids Veau
(kg)</t>
  </si>
  <si>
    <t xml:space="preserve">Facilité
Vêlage</t>
  </si>
  <si>
    <t xml:space="preserve">Proch. Saillie
au + tôt</t>
  </si>
  <si>
    <t xml:space="preserve">Statut</t>
  </si>
  <si>
    <t xml:space="preserve">Observations</t>
  </si>
  <si>
    <t xml:space="preserve">📚  DURÉES DE GESTATION PAR RACE (Données vétérinaires)</t>
  </si>
  <si>
    <t xml:space="preserve">Race</t>
  </si>
  <si>
    <t xml:space="preserve">Durée Gestation
(jours)</t>
  </si>
  <si>
    <t xml:space="preserve">Plage min
(jours)</t>
  </si>
  <si>
    <t xml:space="preserve">Plage max
(jours)</t>
  </si>
  <si>
    <t xml:space="preserve">Tarissement
recommandé (j)</t>
  </si>
  <si>
    <t xml:space="preserve">Source</t>
  </si>
  <si>
    <t xml:space="preserve">Holstein</t>
  </si>
  <si>
    <t xml:space="preserve">Réussir Bovins / SuperVet</t>
  </si>
  <si>
    <t xml:space="preserve">Prim'Holstein</t>
  </si>
  <si>
    <t xml:space="preserve">Réussir Bovins</t>
  </si>
  <si>
    <t xml:space="preserve">Montbéliarde</t>
  </si>
  <si>
    <t xml:space="preserve">IDELE</t>
  </si>
  <si>
    <t xml:space="preserve">Normande</t>
  </si>
  <si>
    <t xml:space="preserve">Simmental</t>
  </si>
  <si>
    <t xml:space="preserve">Brune</t>
  </si>
  <si>
    <t xml:space="preserve">Abondance</t>
  </si>
  <si>
    <t xml:space="preserve">Aubrac</t>
  </si>
  <si>
    <t xml:space="preserve">Réussir Bovins Viande</t>
  </si>
  <si>
    <t xml:space="preserve">Salers</t>
  </si>
  <si>
    <t xml:space="preserve">Charolaise</t>
  </si>
  <si>
    <t xml:space="preserve">Réussir Bovins Viande / Caracterres</t>
  </si>
  <si>
    <t xml:space="preserve">Rouge des Prés</t>
  </si>
  <si>
    <t xml:space="preserve">Caracterres</t>
  </si>
  <si>
    <t xml:space="preserve">Parthenaise</t>
  </si>
  <si>
    <t xml:space="preserve">Limousine</t>
  </si>
  <si>
    <t xml:space="preserve">Blonde d'Aquitaine</t>
  </si>
  <si>
    <t xml:space="preserve">Autre</t>
  </si>
  <si>
    <t xml:space="preserve">Moyenne générale bovine</t>
  </si>
  <si>
    <t xml:space="preserve">📝  NOTES IMPORTANTES</t>
  </si>
  <si>
    <t xml:space="preserve">• Primipare (1er veau) : gestation souvent 2 à 3 jours plus courte que la moyenne de la race</t>
  </si>
  <si>
    <t xml:space="preserve">• Veau mâle : gestation allongée de 2 à 3 jours en moyenne</t>
  </si>
  <si>
    <t xml:space="preserve">• Jumeaux : gestation raccourcie de 3 à 6 jours</t>
  </si>
  <si>
    <t xml:space="preserve">• 95% des vêlages ont lieu dans la moyenne ± 6 jours (source: Caracterres / IDELE)</t>
  </si>
  <si>
    <t xml:space="preserve">• Tarissement standard : 45 à 60 jours avant vêlage (60j pour primipares, 45-55j pour multipares)</t>
  </si>
  <si>
    <t xml:space="preserve">• Tarissement court (hautes productrices &gt;20L/j) : 35-42 jours possible</t>
  </si>
  <si>
    <t xml:space="preserve">• Involution utérine post-vêlage : ~50 jours — saillie fécondante idéale &gt; 60 jours post-vêlage</t>
  </si>
  <si>
    <t xml:space="preserve">• Intervalle vêlage-vêlage (IVV) objectif : 365 jours (12 mois)</t>
  </si>
  <si>
    <t xml:space="preserve">• Cycle oestral moyen : 21 jours (18-24 jours) — Chaleurs : 14-15 heures</t>
  </si>
  <si>
    <t xml:space="preserve">📊  TABLEAU DE BORD — Vue d'ensemble du troupeau</t>
  </si>
  <si>
    <t xml:space="preserve">Indicateur</t>
  </si>
  <si>
    <t xml:space="preserve">Valeur</t>
  </si>
  <si>
    <t xml:space="preserve">Nombre total de vaches suivies</t>
  </si>
  <si>
    <t xml:space="preserve">Vaches gestantes en cours</t>
  </si>
  <si>
    <t xml:space="preserve">Vaches taries en cours</t>
  </si>
  <si>
    <t xml:space="preserve">Vaches ayant vêlé</t>
  </si>
  <si>
    <t xml:space="preserve">Termes dépassés ⚠️</t>
  </si>
  <si>
    <t xml:space="preserve">Veaux mâles nés</t>
  </si>
  <si>
    <t xml:space="preserve">Veaux femelles nés</t>
  </si>
  <si>
    <t xml:space="preserve">Naissances jumeaux</t>
  </si>
  <si>
    <t xml:space="preserve">Poids moyen des veaux (kg)</t>
  </si>
  <si>
    <t xml:space="preserve">Prochain vêlage prévu</t>
  </si>
  <si>
    <t xml:space="preserve">Prochain tarissement prévu</t>
  </si>
  <si>
    <t xml:space="preserve">🔔  ALERTES — Vêlages dans les 30 prochains jours</t>
  </si>
  <si>
    <t xml:space="preserve">Nom Vache</t>
  </si>
  <si>
    <t xml:space="preserve">Date Vêlage Prévue</t>
  </si>
  <si>
    <t xml:space="preserve">Jours Restants</t>
  </si>
  <si>
    <t xml:space="preserve">🐂  FICHE TAUREAUX — Registre des reproducteurs</t>
  </si>
  <si>
    <t xml:space="preserve">Nom du Taureau</t>
  </si>
  <si>
    <t xml:space="preserve">N° Boucle</t>
  </si>
  <si>
    <t xml:space="preserve">Date Naissance</t>
  </si>
  <si>
    <t xml:space="preserve">Poids (kg)</t>
  </si>
  <si>
    <t xml:space="preserve">Nb Saillies
Totales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</si>
</sst>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B5E20"/>
      <name val="Arial"/>
      <family val="0"/>
      <charset val="1"/>
    </font>
    <font>
      <sz val="11"/>
      <color rgb="FF4E342E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i val="true"/>
      <sz val="10"/>
      <color rgb="FF4E342E"/>
      <name val="Arial"/>
      <family val="0"/>
      <charset val="1"/>
    </font>
    <font>
      <b val="true"/>
      <sz val="11"/>
      <color rgb="FF4E342E"/>
      <name val="Arial"/>
      <family val="0"/>
      <charset val="1"/>
    </font>
    <font>
      <b val="true"/>
      <sz val="14"/>
      <color rgb="FF1B5E20"/>
      <name val="Arial"/>
      <family val="0"/>
      <charset val="1"/>
    </font>
    <font>
      <b val="true"/>
      <sz val="14"/>
      <color rgb="FFD32F2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5E20"/>
        <bgColor rgb="FF333300"/>
      </patternFill>
    </fill>
    <fill>
      <patternFill patternType="solid">
        <fgColor rgb="FFF9A825"/>
        <bgColor rgb="FFFFCC00"/>
      </patternFill>
    </fill>
    <fill>
      <patternFill patternType="solid">
        <fgColor rgb="FF4CAF50"/>
        <bgColor rgb="FF33CCCC"/>
      </patternFill>
    </fill>
    <fill>
      <patternFill patternType="solid">
        <fgColor rgb="FF1565C0"/>
        <bgColor rgb="FF3366FF"/>
      </patternFill>
    </fill>
    <fill>
      <patternFill patternType="solid">
        <fgColor rgb="FFFFFFFF"/>
        <bgColor rgb="FFF1F8E9"/>
      </patternFill>
    </fill>
    <fill>
      <patternFill patternType="solid">
        <fgColor rgb="FFF1F8E9"/>
        <bgColor rgb="FFE8F5E9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F1F8E9"/>
      </patternFill>
    </fill>
    <fill>
      <patternFill patternType="solid">
        <fgColor rgb="FF6D4C41"/>
        <bgColor rgb="FF4E342E"/>
      </patternFill>
    </fill>
    <fill>
      <patternFill patternType="solid">
        <fgColor rgb="FFEFEBE9"/>
        <bgColor rgb="FFE8F5E9"/>
      </patternFill>
    </fill>
    <fill>
      <patternFill patternType="solid">
        <fgColor rgb="FFEF6C00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4CAF50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1F8E9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>
          <bgColor rgb="FFFFCDD2"/>
        </patternFill>
      </fill>
    </dxf>
    <dxf>
      <fill>
        <patternFill>
          <bgColor rgb="FFFFF3E0"/>
        </patternFill>
      </fill>
    </dxf>
    <dxf>
      <fill>
        <patternFill>
          <bgColor rgb="FFC8E6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808080"/>
      <rgbColor rgb="FF9999FF"/>
      <rgbColor rgb="FF6D4C41"/>
      <rgbColor rgb="FFFFF3E0"/>
      <rgbColor rgb="FFE3F2FD"/>
      <rgbColor rgb="FF660066"/>
      <rgbColor rgb="FFFF8080"/>
      <rgbColor rgb="FF1565C0"/>
      <rgbColor rgb="FFEFEB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1F8E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9A825"/>
      <rgbColor rgb="FFEF6C00"/>
      <rgbColor rgb="FF666699"/>
      <rgbColor rgb="FF969696"/>
      <rgbColor rgb="FF003366"/>
      <rgbColor rgb="FF4CAF50"/>
      <rgbColor rgb="FF003300"/>
      <rgbColor rgb="FF333300"/>
      <rgbColor rgb="FFD32F2F"/>
      <rgbColor rgb="FF993366"/>
      <rgbColor rgb="FF333399"/>
      <rgbColor rgb="FF4E3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30"/>
  </cols>
  <sheetData>
    <row r="1" customFormat="false" ht="34.5" hidden="false" customHeight="true" outlineLevel="0" collapsed="false">
      <c r="A1" s="1" t="s">
        <v>0</v>
      </c>
      <c r="B1" s="1"/>
      <c r="C1" s="1"/>
    </row>
    <row r="3" customFormat="false" ht="30" hidden="false" customHeight="true" outlineLevel="0" collapsed="false">
      <c r="A3" s="2" t="s">
        <v>1</v>
      </c>
      <c r="B3" s="2"/>
      <c r="C3" s="2"/>
    </row>
    <row r="4" customFormat="false" ht="79.5" hidden="false" customHeight="true" outlineLevel="0" collapsed="false">
      <c r="A4" s="3" t="s">
        <v>2</v>
      </c>
      <c r="B4" s="3"/>
      <c r="C4" s="3"/>
    </row>
    <row r="5" customFormat="false" ht="30" hidden="false" customHeight="true" outlineLevel="0" collapsed="false">
      <c r="A5" s="2" t="s">
        <v>3</v>
      </c>
      <c r="B5" s="2"/>
      <c r="C5" s="2"/>
    </row>
    <row r="6" customFormat="false" ht="79.5" hidden="false" customHeight="true" outlineLevel="0" collapsed="false">
      <c r="A6" s="3" t="s">
        <v>4</v>
      </c>
      <c r="B6" s="3"/>
      <c r="C6" s="3"/>
    </row>
    <row r="7" customFormat="false" ht="30" hidden="false" customHeight="true" outlineLevel="0" collapsed="false">
      <c r="A7" s="2" t="s">
        <v>5</v>
      </c>
      <c r="B7" s="2"/>
      <c r="C7" s="2"/>
    </row>
    <row r="8" customFormat="false" ht="79.5" hidden="false" customHeight="true" outlineLevel="0" collapsed="false">
      <c r="A8" s="3" t="s">
        <v>6</v>
      </c>
      <c r="B8" s="3"/>
      <c r="C8" s="3"/>
    </row>
    <row r="9" customFormat="false" ht="30" hidden="false" customHeight="true" outlineLevel="0" collapsed="false">
      <c r="A9" s="2" t="s">
        <v>7</v>
      </c>
      <c r="B9" s="2"/>
      <c r="C9" s="2"/>
    </row>
    <row r="10" customFormat="false" ht="79.5" hidden="false" customHeight="true" outlineLevel="0" collapsed="false">
      <c r="A10" s="3" t="s">
        <v>8</v>
      </c>
      <c r="B10" s="3"/>
      <c r="C10" s="3"/>
    </row>
    <row r="11" customFormat="false" ht="30" hidden="false" customHeight="true" outlineLevel="0" collapsed="false">
      <c r="A11" s="2" t="s">
        <v>9</v>
      </c>
      <c r="B11" s="2"/>
      <c r="C11" s="2"/>
    </row>
    <row r="12" customFormat="false" ht="79.5" hidden="false" customHeight="true" outlineLevel="0" collapsed="false">
      <c r="A12" s="3" t="s">
        <v>10</v>
      </c>
      <c r="B12" s="3"/>
      <c r="C12" s="3"/>
    </row>
    <row r="13" customFormat="false" ht="30" hidden="false" customHeight="true" outlineLevel="0" collapsed="false">
      <c r="A13" s="2" t="s">
        <v>11</v>
      </c>
      <c r="B13" s="2"/>
      <c r="C13" s="2"/>
    </row>
    <row r="14" customFormat="false" ht="79.5" hidden="false" customHeight="true" outlineLevel="0" collapsed="false">
      <c r="A14" s="3" t="s">
        <v>12</v>
      </c>
      <c r="B14" s="3"/>
      <c r="C14" s="3"/>
    </row>
    <row r="15" customFormat="false" ht="30" hidden="false" customHeight="true" outlineLevel="0" collapsed="false">
      <c r="A15" s="2" t="s">
        <v>13</v>
      </c>
      <c r="B15" s="2"/>
      <c r="C15" s="2"/>
    </row>
    <row r="16" customFormat="false" ht="79.5" hidden="false" customHeight="true" outlineLevel="0" collapsed="false">
      <c r="A16" s="3" t="s">
        <v>14</v>
      </c>
      <c r="B16" s="3"/>
      <c r="C16" s="3"/>
    </row>
  </sheetData>
  <mergeCells count="15">
    <mergeCell ref="A1:C1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R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12" min="9" style="0" width="16"/>
    <col collapsed="false" customWidth="true" hidden="false" outlineLevel="0" max="13" min="13" style="0" width="10"/>
    <col collapsed="false" customWidth="true" hidden="false" outlineLevel="0" max="15" min="14" style="0" width="12"/>
    <col collapsed="false" customWidth="true" hidden="false" outlineLevel="0" max="16" min="16" style="0" width="16"/>
    <col collapsed="false" customWidth="true" hidden="false" outlineLevel="0" max="17" min="17" style="0" width="14"/>
    <col collapsed="false" customWidth="true" hidden="false" outlineLevel="0" max="18" min="18" style="0" width="24"/>
  </cols>
  <sheetData>
    <row r="1" customFormat="false" ht="34.5" hidden="false" customHeight="true" outlineLevel="0" collapsed="false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1.75" hidden="false" customHeight="true" outlineLevel="0" collapsed="false">
      <c r="A2" s="4" t="s">
        <v>16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customFormat="false" ht="39.75" hidden="false" customHeight="true" outlineLevel="0" collapsed="false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6" t="s">
        <v>25</v>
      </c>
      <c r="J3" s="6" t="s">
        <v>26</v>
      </c>
      <c r="K3" s="6" t="s">
        <v>27</v>
      </c>
      <c r="L3" s="5" t="s">
        <v>28</v>
      </c>
      <c r="M3" s="5" t="s">
        <v>29</v>
      </c>
      <c r="N3" s="5" t="s">
        <v>30</v>
      </c>
      <c r="O3" s="5" t="s">
        <v>31</v>
      </c>
      <c r="P3" s="6" t="s">
        <v>32</v>
      </c>
      <c r="Q3" s="6" t="s">
        <v>33</v>
      </c>
      <c r="R3" s="5" t="s">
        <v>34</v>
      </c>
    </row>
    <row r="4" customFormat="false" ht="15" hidden="false" customHeight="false" outlineLevel="0" collapsed="false">
      <c r="A4" s="7" t="n">
        <v>1</v>
      </c>
      <c r="B4" s="8"/>
      <c r="C4" s="8"/>
      <c r="D4" s="8"/>
      <c r="E4" s="8"/>
      <c r="F4" s="8"/>
      <c r="G4" s="8"/>
      <c r="H4" s="9"/>
      <c r="I4" s="10" t="str">
        <f aca="false">IF(C4="","",VLOOKUP(C4,Références!A:B,2,FALSE()))</f>
        <v/>
      </c>
      <c r="J4" s="11" t="str">
        <f aca="false">IF(OR(H4="",I4=""),"",IF(E4="Oui",H4+I4-60,H4+I4-55))</f>
        <v/>
      </c>
      <c r="K4" s="11" t="str">
        <f aca="false">IF(OR(H4="",I4=""),"",H4+I4)</f>
        <v/>
      </c>
      <c r="L4" s="9"/>
      <c r="M4" s="8"/>
      <c r="N4" s="8"/>
      <c r="O4" s="8"/>
      <c r="P4" s="11" t="str">
        <f aca="false">IF(L4="","",L4+60)</f>
        <v/>
      </c>
      <c r="Q4" s="10" t="str">
        <f aca="true">IF(H4="","",IF(L4&lt;&gt;"","✅ Vêlée",IF(TODAY()&gt;=K4,"⚠️ Terme dépassé",IF(TODAY()&gt;=J4,"🔶 Tarie",IF(TODAY()&gt;=H4,"🟢 Gestante","")))))</f>
        <v/>
      </c>
      <c r="R4" s="8"/>
    </row>
    <row r="5" customFormat="false" ht="15" hidden="false" customHeight="false" outlineLevel="0" collapsed="false">
      <c r="A5" s="12" t="n">
        <v>2</v>
      </c>
      <c r="B5" s="12"/>
      <c r="C5" s="12"/>
      <c r="D5" s="12"/>
      <c r="E5" s="12"/>
      <c r="F5" s="12"/>
      <c r="G5" s="12"/>
      <c r="H5" s="13"/>
      <c r="I5" s="10" t="str">
        <f aca="false">IF(C5="","",VLOOKUP(C5,Références!A:B,2,FALSE()))</f>
        <v/>
      </c>
      <c r="J5" s="11" t="str">
        <f aca="false">IF(OR(H5="",I5=""),"",IF(E5="Oui",H5+I5-60,H5+I5-55))</f>
        <v/>
      </c>
      <c r="K5" s="11" t="str">
        <f aca="false">IF(OR(H5="",I5=""),"",H5+I5)</f>
        <v/>
      </c>
      <c r="L5" s="13"/>
      <c r="M5" s="12"/>
      <c r="N5" s="12"/>
      <c r="O5" s="12"/>
      <c r="P5" s="11" t="str">
        <f aca="false">IF(L5="","",L5+60)</f>
        <v/>
      </c>
      <c r="Q5" s="10" t="str">
        <f aca="true">IF(H5="","",IF(L5&lt;&gt;"","✅ Vêlée",IF(TODAY()&gt;=K5,"⚠️ Terme dépassé",IF(TODAY()&gt;=J5,"🔶 Tarie",IF(TODAY()&gt;=H5,"🟢 Gestante","")))))</f>
        <v/>
      </c>
      <c r="R5" s="12"/>
    </row>
    <row r="6" customFormat="false" ht="15" hidden="false" customHeight="false" outlineLevel="0" collapsed="false">
      <c r="A6" s="7" t="n">
        <v>3</v>
      </c>
      <c r="B6" s="8"/>
      <c r="C6" s="8"/>
      <c r="D6" s="8"/>
      <c r="E6" s="8"/>
      <c r="F6" s="8"/>
      <c r="G6" s="8"/>
      <c r="H6" s="9"/>
      <c r="I6" s="10" t="str">
        <f aca="false">IF(C6="","",VLOOKUP(C6,Références!A:B,2,FALSE()))</f>
        <v/>
      </c>
      <c r="J6" s="11" t="str">
        <f aca="false">IF(OR(H6="",I6=""),"",IF(E6="Oui",H6+I6-60,H6+I6-55))</f>
        <v/>
      </c>
      <c r="K6" s="11" t="str">
        <f aca="false">IF(OR(H6="",I6=""),"",H6+I6)</f>
        <v/>
      </c>
      <c r="L6" s="9"/>
      <c r="M6" s="8"/>
      <c r="N6" s="8"/>
      <c r="O6" s="8"/>
      <c r="P6" s="11" t="str">
        <f aca="false">IF(L6="","",L6+60)</f>
        <v/>
      </c>
      <c r="Q6" s="10" t="str">
        <f aca="true">IF(H6="","",IF(L6&lt;&gt;"","✅ Vêlée",IF(TODAY()&gt;=K6,"⚠️ Terme dépassé",IF(TODAY()&gt;=J6,"🔶 Tarie",IF(TODAY()&gt;=H6,"🟢 Gestante","")))))</f>
        <v/>
      </c>
      <c r="R6" s="8"/>
    </row>
    <row r="7" customFormat="false" ht="15" hidden="false" customHeight="false" outlineLevel="0" collapsed="false">
      <c r="A7" s="12" t="n">
        <v>4</v>
      </c>
      <c r="B7" s="12"/>
      <c r="C7" s="12"/>
      <c r="D7" s="12"/>
      <c r="E7" s="12"/>
      <c r="F7" s="12"/>
      <c r="G7" s="12"/>
      <c r="H7" s="13"/>
      <c r="I7" s="10" t="str">
        <f aca="false">IF(C7="","",VLOOKUP(C7,Références!A:B,2,FALSE()))</f>
        <v/>
      </c>
      <c r="J7" s="11" t="str">
        <f aca="false">IF(OR(H7="",I7=""),"",IF(E7="Oui",H7+I7-60,H7+I7-55))</f>
        <v/>
      </c>
      <c r="K7" s="11" t="str">
        <f aca="false">IF(OR(H7="",I7=""),"",H7+I7)</f>
        <v/>
      </c>
      <c r="L7" s="13"/>
      <c r="M7" s="12"/>
      <c r="N7" s="12"/>
      <c r="O7" s="12"/>
      <c r="P7" s="11" t="str">
        <f aca="false">IF(L7="","",L7+60)</f>
        <v/>
      </c>
      <c r="Q7" s="10" t="str">
        <f aca="true">IF(H7="","",IF(L7&lt;&gt;"","✅ Vêlée",IF(TODAY()&gt;=K7,"⚠️ Terme dépassé",IF(TODAY()&gt;=J7,"🔶 Tarie",IF(TODAY()&gt;=H7,"🟢 Gestante","")))))</f>
        <v/>
      </c>
      <c r="R7" s="12"/>
    </row>
    <row r="8" customFormat="false" ht="15" hidden="false" customHeight="false" outlineLevel="0" collapsed="false">
      <c r="A8" s="7" t="n">
        <v>5</v>
      </c>
      <c r="B8" s="8"/>
      <c r="C8" s="8"/>
      <c r="D8" s="8"/>
      <c r="E8" s="8"/>
      <c r="F8" s="8"/>
      <c r="G8" s="8"/>
      <c r="H8" s="9"/>
      <c r="I8" s="10" t="str">
        <f aca="false">IF(C8="","",VLOOKUP(C8,Références!A:B,2,FALSE()))</f>
        <v/>
      </c>
      <c r="J8" s="11" t="str">
        <f aca="false">IF(OR(H8="",I8=""),"",IF(E8="Oui",H8+I8-60,H8+I8-55))</f>
        <v/>
      </c>
      <c r="K8" s="11" t="str">
        <f aca="false">IF(OR(H8="",I8=""),"",H8+I8)</f>
        <v/>
      </c>
      <c r="L8" s="9"/>
      <c r="M8" s="8"/>
      <c r="N8" s="8"/>
      <c r="O8" s="8"/>
      <c r="P8" s="11" t="str">
        <f aca="false">IF(L8="","",L8+60)</f>
        <v/>
      </c>
      <c r="Q8" s="10" t="str">
        <f aca="true">IF(H8="","",IF(L8&lt;&gt;"","✅ Vêlée",IF(TODAY()&gt;=K8,"⚠️ Terme dépassé",IF(TODAY()&gt;=J8,"🔶 Tarie",IF(TODAY()&gt;=H8,"🟢 Gestante","")))))</f>
        <v/>
      </c>
      <c r="R8" s="8"/>
    </row>
    <row r="9" customFormat="false" ht="15" hidden="false" customHeight="false" outlineLevel="0" collapsed="false">
      <c r="A9" s="12" t="n">
        <v>6</v>
      </c>
      <c r="B9" s="12"/>
      <c r="C9" s="12"/>
      <c r="D9" s="12"/>
      <c r="E9" s="12"/>
      <c r="F9" s="12"/>
      <c r="G9" s="12"/>
      <c r="H9" s="13"/>
      <c r="I9" s="10" t="str">
        <f aca="false">IF(C9="","",VLOOKUP(C9,Références!A:B,2,FALSE()))</f>
        <v/>
      </c>
      <c r="J9" s="11" t="str">
        <f aca="false">IF(OR(H9="",I9=""),"",IF(E9="Oui",H9+I9-60,H9+I9-55))</f>
        <v/>
      </c>
      <c r="K9" s="11" t="str">
        <f aca="false">IF(OR(H9="",I9=""),"",H9+I9)</f>
        <v/>
      </c>
      <c r="L9" s="13"/>
      <c r="M9" s="12"/>
      <c r="N9" s="12"/>
      <c r="O9" s="12"/>
      <c r="P9" s="11" t="str">
        <f aca="false">IF(L9="","",L9+60)</f>
        <v/>
      </c>
      <c r="Q9" s="10" t="str">
        <f aca="true">IF(H9="","",IF(L9&lt;&gt;"","✅ Vêlée",IF(TODAY()&gt;=K9,"⚠️ Terme dépassé",IF(TODAY()&gt;=J9,"🔶 Tarie",IF(TODAY()&gt;=H9,"🟢 Gestante","")))))</f>
        <v/>
      </c>
      <c r="R9" s="12"/>
    </row>
    <row r="10" customFormat="false" ht="15" hidden="false" customHeight="false" outlineLevel="0" collapsed="false">
      <c r="A10" s="7" t="n">
        <v>7</v>
      </c>
      <c r="B10" s="8"/>
      <c r="C10" s="8"/>
      <c r="D10" s="8"/>
      <c r="E10" s="8"/>
      <c r="F10" s="8"/>
      <c r="G10" s="8"/>
      <c r="H10" s="9"/>
      <c r="I10" s="10" t="str">
        <f aca="false">IF(C10="","",VLOOKUP(C10,Références!A:B,2,FALSE()))</f>
        <v/>
      </c>
      <c r="J10" s="11" t="str">
        <f aca="false">IF(OR(H10="",I10=""),"",IF(E10="Oui",H10+I10-60,H10+I10-55))</f>
        <v/>
      </c>
      <c r="K10" s="11" t="str">
        <f aca="false">IF(OR(H10="",I10=""),"",H10+I10)</f>
        <v/>
      </c>
      <c r="L10" s="9"/>
      <c r="M10" s="8"/>
      <c r="N10" s="8"/>
      <c r="O10" s="8"/>
      <c r="P10" s="11" t="str">
        <f aca="false">IF(L10="","",L10+60)</f>
        <v/>
      </c>
      <c r="Q10" s="10" t="str">
        <f aca="true">IF(H10="","",IF(L10&lt;&gt;"","✅ Vêlée",IF(TODAY()&gt;=K10,"⚠️ Terme dépassé",IF(TODAY()&gt;=J10,"🔶 Tarie",IF(TODAY()&gt;=H10,"🟢 Gestante","")))))</f>
        <v/>
      </c>
      <c r="R10" s="8"/>
    </row>
    <row r="11" customFormat="false" ht="15" hidden="false" customHeight="false" outlineLevel="0" collapsed="false">
      <c r="A11" s="12" t="n">
        <v>8</v>
      </c>
      <c r="B11" s="12"/>
      <c r="C11" s="12"/>
      <c r="D11" s="12"/>
      <c r="E11" s="12"/>
      <c r="F11" s="12"/>
      <c r="G11" s="12"/>
      <c r="H11" s="13"/>
      <c r="I11" s="10" t="str">
        <f aca="false">IF(C11="","",VLOOKUP(C11,Références!A:B,2,FALSE()))</f>
        <v/>
      </c>
      <c r="J11" s="11" t="str">
        <f aca="false">IF(OR(H11="",I11=""),"",IF(E11="Oui",H11+I11-60,H11+I11-55))</f>
        <v/>
      </c>
      <c r="K11" s="11" t="str">
        <f aca="false">IF(OR(H11="",I11=""),"",H11+I11)</f>
        <v/>
      </c>
      <c r="L11" s="13"/>
      <c r="M11" s="12"/>
      <c r="N11" s="12"/>
      <c r="O11" s="12"/>
      <c r="P11" s="11" t="str">
        <f aca="false">IF(L11="","",L11+60)</f>
        <v/>
      </c>
      <c r="Q11" s="10" t="str">
        <f aca="true">IF(H11="","",IF(L11&lt;&gt;"","✅ Vêlée",IF(TODAY()&gt;=K11,"⚠️ Terme dépassé",IF(TODAY()&gt;=J11,"🔶 Tarie",IF(TODAY()&gt;=H11,"🟢 Gestante","")))))</f>
        <v/>
      </c>
      <c r="R11" s="12"/>
    </row>
    <row r="12" customFormat="false" ht="15" hidden="false" customHeight="false" outlineLevel="0" collapsed="false">
      <c r="A12" s="7" t="n">
        <v>9</v>
      </c>
      <c r="B12" s="8"/>
      <c r="C12" s="8"/>
      <c r="D12" s="8"/>
      <c r="E12" s="8"/>
      <c r="F12" s="8"/>
      <c r="G12" s="8"/>
      <c r="H12" s="9"/>
      <c r="I12" s="10" t="str">
        <f aca="false">IF(C12="","",VLOOKUP(C12,Références!A:B,2,FALSE()))</f>
        <v/>
      </c>
      <c r="J12" s="11" t="str">
        <f aca="false">IF(OR(H12="",I12=""),"",IF(E12="Oui",H12+I12-60,H12+I12-55))</f>
        <v/>
      </c>
      <c r="K12" s="11" t="str">
        <f aca="false">IF(OR(H12="",I12=""),"",H12+I12)</f>
        <v/>
      </c>
      <c r="L12" s="9"/>
      <c r="M12" s="8"/>
      <c r="N12" s="8"/>
      <c r="O12" s="8"/>
      <c r="P12" s="11" t="str">
        <f aca="false">IF(L12="","",L12+60)</f>
        <v/>
      </c>
      <c r="Q12" s="10" t="str">
        <f aca="true">IF(H12="","",IF(L12&lt;&gt;"","✅ Vêlée",IF(TODAY()&gt;=K12,"⚠️ Terme dépassé",IF(TODAY()&gt;=J12,"🔶 Tarie",IF(TODAY()&gt;=H12,"🟢 Gestante","")))))</f>
        <v/>
      </c>
      <c r="R12" s="8"/>
    </row>
    <row r="13" customFormat="false" ht="15" hidden="false" customHeight="false" outlineLevel="0" collapsed="false">
      <c r="A13" s="12" t="n">
        <v>10</v>
      </c>
      <c r="B13" s="12"/>
      <c r="C13" s="12"/>
      <c r="D13" s="12"/>
      <c r="E13" s="12"/>
      <c r="F13" s="12"/>
      <c r="G13" s="12"/>
      <c r="H13" s="13"/>
      <c r="I13" s="10" t="str">
        <f aca="false">IF(C13="","",VLOOKUP(C13,Références!A:B,2,FALSE()))</f>
        <v/>
      </c>
      <c r="J13" s="11" t="str">
        <f aca="false">IF(OR(H13="",I13=""),"",IF(E13="Oui",H13+I13-60,H13+I13-55))</f>
        <v/>
      </c>
      <c r="K13" s="11" t="str">
        <f aca="false">IF(OR(H13="",I13=""),"",H13+I13)</f>
        <v/>
      </c>
      <c r="L13" s="13"/>
      <c r="M13" s="12"/>
      <c r="N13" s="12"/>
      <c r="O13" s="12"/>
      <c r="P13" s="11" t="str">
        <f aca="false">IF(L13="","",L13+60)</f>
        <v/>
      </c>
      <c r="Q13" s="10" t="str">
        <f aca="true">IF(H13="","",IF(L13&lt;&gt;"","✅ Vêlée",IF(TODAY()&gt;=K13,"⚠️ Terme dépassé",IF(TODAY()&gt;=J13,"🔶 Tarie",IF(TODAY()&gt;=H13,"🟢 Gestante","")))))</f>
        <v/>
      </c>
      <c r="R13" s="12"/>
    </row>
    <row r="14" customFormat="false" ht="15" hidden="false" customHeight="false" outlineLevel="0" collapsed="false">
      <c r="A14" s="7" t="n">
        <v>11</v>
      </c>
      <c r="B14" s="8"/>
      <c r="C14" s="8"/>
      <c r="D14" s="8"/>
      <c r="E14" s="8"/>
      <c r="F14" s="8"/>
      <c r="G14" s="8"/>
      <c r="H14" s="9"/>
      <c r="I14" s="10" t="str">
        <f aca="false">IF(C14="","",VLOOKUP(C14,Références!A:B,2,FALSE()))</f>
        <v/>
      </c>
      <c r="J14" s="11" t="str">
        <f aca="false">IF(OR(H14="",I14=""),"",IF(E14="Oui",H14+I14-60,H14+I14-55))</f>
        <v/>
      </c>
      <c r="K14" s="11" t="str">
        <f aca="false">IF(OR(H14="",I14=""),"",H14+I14)</f>
        <v/>
      </c>
      <c r="L14" s="9"/>
      <c r="M14" s="8"/>
      <c r="N14" s="8"/>
      <c r="O14" s="8"/>
      <c r="P14" s="11" t="str">
        <f aca="false">IF(L14="","",L14+60)</f>
        <v/>
      </c>
      <c r="Q14" s="10" t="str">
        <f aca="true">IF(H14="","",IF(L14&lt;&gt;"","✅ Vêlée",IF(TODAY()&gt;=K14,"⚠️ Terme dépassé",IF(TODAY()&gt;=J14,"🔶 Tarie",IF(TODAY()&gt;=H14,"🟢 Gestante","")))))</f>
        <v/>
      </c>
      <c r="R14" s="8"/>
    </row>
    <row r="15" customFormat="false" ht="15" hidden="false" customHeight="false" outlineLevel="0" collapsed="false">
      <c r="A15" s="12" t="n">
        <v>12</v>
      </c>
      <c r="B15" s="12"/>
      <c r="C15" s="12"/>
      <c r="D15" s="12"/>
      <c r="E15" s="12"/>
      <c r="F15" s="12"/>
      <c r="G15" s="12"/>
      <c r="H15" s="13"/>
      <c r="I15" s="10" t="str">
        <f aca="false">IF(C15="","",VLOOKUP(C15,Références!A:B,2,FALSE()))</f>
        <v/>
      </c>
      <c r="J15" s="11" t="str">
        <f aca="false">IF(OR(H15="",I15=""),"",IF(E15="Oui",H15+I15-60,H15+I15-55))</f>
        <v/>
      </c>
      <c r="K15" s="11" t="str">
        <f aca="false">IF(OR(H15="",I15=""),"",H15+I15)</f>
        <v/>
      </c>
      <c r="L15" s="13"/>
      <c r="M15" s="12"/>
      <c r="N15" s="12"/>
      <c r="O15" s="12"/>
      <c r="P15" s="11" t="str">
        <f aca="false">IF(L15="","",L15+60)</f>
        <v/>
      </c>
      <c r="Q15" s="10" t="str">
        <f aca="true">IF(H15="","",IF(L15&lt;&gt;"","✅ Vêlée",IF(TODAY()&gt;=K15,"⚠️ Terme dépassé",IF(TODAY()&gt;=J15,"🔶 Tarie",IF(TODAY()&gt;=H15,"🟢 Gestante","")))))</f>
        <v/>
      </c>
      <c r="R15" s="12"/>
    </row>
    <row r="16" customFormat="false" ht="15" hidden="false" customHeight="false" outlineLevel="0" collapsed="false">
      <c r="A16" s="7" t="n">
        <v>13</v>
      </c>
      <c r="B16" s="8"/>
      <c r="C16" s="8"/>
      <c r="D16" s="8"/>
      <c r="E16" s="8"/>
      <c r="F16" s="8"/>
      <c r="G16" s="8"/>
      <c r="H16" s="9"/>
      <c r="I16" s="10" t="str">
        <f aca="false">IF(C16="","",VLOOKUP(C16,Références!A:B,2,FALSE()))</f>
        <v/>
      </c>
      <c r="J16" s="11" t="str">
        <f aca="false">IF(OR(H16="",I16=""),"",IF(E16="Oui",H16+I16-60,H16+I16-55))</f>
        <v/>
      </c>
      <c r="K16" s="11" t="str">
        <f aca="false">IF(OR(H16="",I16=""),"",H16+I16)</f>
        <v/>
      </c>
      <c r="L16" s="9"/>
      <c r="M16" s="8"/>
      <c r="N16" s="8"/>
      <c r="O16" s="8"/>
      <c r="P16" s="11" t="str">
        <f aca="false">IF(L16="","",L16+60)</f>
        <v/>
      </c>
      <c r="Q16" s="10" t="str">
        <f aca="true">IF(H16="","",IF(L16&lt;&gt;"","✅ Vêlée",IF(TODAY()&gt;=K16,"⚠️ Terme dépassé",IF(TODAY()&gt;=J16,"🔶 Tarie",IF(TODAY()&gt;=H16,"🟢 Gestante","")))))</f>
        <v/>
      </c>
      <c r="R16" s="8"/>
    </row>
    <row r="17" customFormat="false" ht="15" hidden="false" customHeight="false" outlineLevel="0" collapsed="false">
      <c r="A17" s="12" t="n">
        <v>14</v>
      </c>
      <c r="B17" s="12"/>
      <c r="C17" s="12"/>
      <c r="D17" s="12"/>
      <c r="E17" s="12"/>
      <c r="F17" s="12"/>
      <c r="G17" s="12"/>
      <c r="H17" s="13"/>
      <c r="I17" s="10" t="str">
        <f aca="false">IF(C17="","",VLOOKUP(C17,Références!A:B,2,FALSE()))</f>
        <v/>
      </c>
      <c r="J17" s="11" t="str">
        <f aca="false">IF(OR(H17="",I17=""),"",IF(E17="Oui",H17+I17-60,H17+I17-55))</f>
        <v/>
      </c>
      <c r="K17" s="11" t="str">
        <f aca="false">IF(OR(H17="",I17=""),"",H17+I17)</f>
        <v/>
      </c>
      <c r="L17" s="13"/>
      <c r="M17" s="12"/>
      <c r="N17" s="12"/>
      <c r="O17" s="12"/>
      <c r="P17" s="11" t="str">
        <f aca="false">IF(L17="","",L17+60)</f>
        <v/>
      </c>
      <c r="Q17" s="10" t="str">
        <f aca="true">IF(H17="","",IF(L17&lt;&gt;"","✅ Vêlée",IF(TODAY()&gt;=K17,"⚠️ Terme dépassé",IF(TODAY()&gt;=J17,"🔶 Tarie",IF(TODAY()&gt;=H17,"🟢 Gestante","")))))</f>
        <v/>
      </c>
      <c r="R17" s="12"/>
    </row>
    <row r="18" customFormat="false" ht="15" hidden="false" customHeight="false" outlineLevel="0" collapsed="false">
      <c r="A18" s="7" t="n">
        <v>15</v>
      </c>
      <c r="B18" s="8"/>
      <c r="C18" s="8"/>
      <c r="D18" s="8"/>
      <c r="E18" s="8"/>
      <c r="F18" s="8"/>
      <c r="G18" s="8"/>
      <c r="H18" s="9"/>
      <c r="I18" s="10" t="str">
        <f aca="false">IF(C18="","",VLOOKUP(C18,Références!A:B,2,FALSE()))</f>
        <v/>
      </c>
      <c r="J18" s="11" t="str">
        <f aca="false">IF(OR(H18="",I18=""),"",IF(E18="Oui",H18+I18-60,H18+I18-55))</f>
        <v/>
      </c>
      <c r="K18" s="11" t="str">
        <f aca="false">IF(OR(H18="",I18=""),"",H18+I18)</f>
        <v/>
      </c>
      <c r="L18" s="9"/>
      <c r="M18" s="8"/>
      <c r="N18" s="8"/>
      <c r="O18" s="8"/>
      <c r="P18" s="11" t="str">
        <f aca="false">IF(L18="","",L18+60)</f>
        <v/>
      </c>
      <c r="Q18" s="10" t="str">
        <f aca="true">IF(H18="","",IF(L18&lt;&gt;"","✅ Vêlée",IF(TODAY()&gt;=K18,"⚠️ Terme dépassé",IF(TODAY()&gt;=J18,"🔶 Tarie",IF(TODAY()&gt;=H18,"🟢 Gestante","")))))</f>
        <v/>
      </c>
      <c r="R18" s="8"/>
    </row>
    <row r="19" customFormat="false" ht="15" hidden="false" customHeight="false" outlineLevel="0" collapsed="false">
      <c r="A19" s="12" t="n">
        <v>16</v>
      </c>
      <c r="B19" s="12"/>
      <c r="C19" s="12"/>
      <c r="D19" s="12"/>
      <c r="E19" s="12"/>
      <c r="F19" s="12"/>
      <c r="G19" s="12"/>
      <c r="H19" s="13"/>
      <c r="I19" s="10" t="str">
        <f aca="false">IF(C19="","",VLOOKUP(C19,Références!A:B,2,FALSE()))</f>
        <v/>
      </c>
      <c r="J19" s="11" t="str">
        <f aca="false">IF(OR(H19="",I19=""),"",IF(E19="Oui",H19+I19-60,H19+I19-55))</f>
        <v/>
      </c>
      <c r="K19" s="11" t="str">
        <f aca="false">IF(OR(H19="",I19=""),"",H19+I19)</f>
        <v/>
      </c>
      <c r="L19" s="13"/>
      <c r="M19" s="12"/>
      <c r="N19" s="12"/>
      <c r="O19" s="12"/>
      <c r="P19" s="11" t="str">
        <f aca="false">IF(L19="","",L19+60)</f>
        <v/>
      </c>
      <c r="Q19" s="10" t="str">
        <f aca="true">IF(H19="","",IF(L19&lt;&gt;"","✅ Vêlée",IF(TODAY()&gt;=K19,"⚠️ Terme dépassé",IF(TODAY()&gt;=J19,"🔶 Tarie",IF(TODAY()&gt;=H19,"🟢 Gestante","")))))</f>
        <v/>
      </c>
      <c r="R19" s="12"/>
    </row>
    <row r="20" customFormat="false" ht="15" hidden="false" customHeight="false" outlineLevel="0" collapsed="false">
      <c r="A20" s="7" t="n">
        <v>17</v>
      </c>
      <c r="B20" s="8"/>
      <c r="C20" s="8"/>
      <c r="D20" s="8"/>
      <c r="E20" s="8"/>
      <c r="F20" s="8"/>
      <c r="G20" s="8"/>
      <c r="H20" s="9"/>
      <c r="I20" s="10" t="str">
        <f aca="false">IF(C20="","",VLOOKUP(C20,Références!A:B,2,FALSE()))</f>
        <v/>
      </c>
      <c r="J20" s="11" t="str">
        <f aca="false">IF(OR(H20="",I20=""),"",IF(E20="Oui",H20+I20-60,H20+I20-55))</f>
        <v/>
      </c>
      <c r="K20" s="11" t="str">
        <f aca="false">IF(OR(H20="",I20=""),"",H20+I20)</f>
        <v/>
      </c>
      <c r="L20" s="9"/>
      <c r="M20" s="8"/>
      <c r="N20" s="8"/>
      <c r="O20" s="8"/>
      <c r="P20" s="11" t="str">
        <f aca="false">IF(L20="","",L20+60)</f>
        <v/>
      </c>
      <c r="Q20" s="10" t="str">
        <f aca="true">IF(H20="","",IF(L20&lt;&gt;"","✅ Vêlée",IF(TODAY()&gt;=K20,"⚠️ Terme dépassé",IF(TODAY()&gt;=J20,"🔶 Tarie",IF(TODAY()&gt;=H20,"🟢 Gestante","")))))</f>
        <v/>
      </c>
      <c r="R20" s="8"/>
    </row>
    <row r="21" customFormat="false" ht="15" hidden="false" customHeight="false" outlineLevel="0" collapsed="false">
      <c r="A21" s="12" t="n">
        <v>18</v>
      </c>
      <c r="B21" s="12"/>
      <c r="C21" s="12"/>
      <c r="D21" s="12"/>
      <c r="E21" s="12"/>
      <c r="F21" s="12"/>
      <c r="G21" s="12"/>
      <c r="H21" s="13"/>
      <c r="I21" s="10" t="str">
        <f aca="false">IF(C21="","",VLOOKUP(C21,Références!A:B,2,FALSE()))</f>
        <v/>
      </c>
      <c r="J21" s="11" t="str">
        <f aca="false">IF(OR(H21="",I21=""),"",IF(E21="Oui",H21+I21-60,H21+I21-55))</f>
        <v/>
      </c>
      <c r="K21" s="11" t="str">
        <f aca="false">IF(OR(H21="",I21=""),"",H21+I21)</f>
        <v/>
      </c>
      <c r="L21" s="13"/>
      <c r="M21" s="12"/>
      <c r="N21" s="12"/>
      <c r="O21" s="12"/>
      <c r="P21" s="11" t="str">
        <f aca="false">IF(L21="","",L21+60)</f>
        <v/>
      </c>
      <c r="Q21" s="10" t="str">
        <f aca="true">IF(H21="","",IF(L21&lt;&gt;"","✅ Vêlée",IF(TODAY()&gt;=K21,"⚠️ Terme dépassé",IF(TODAY()&gt;=J21,"🔶 Tarie",IF(TODAY()&gt;=H21,"🟢 Gestante","")))))</f>
        <v/>
      </c>
      <c r="R21" s="12"/>
    </row>
    <row r="22" customFormat="false" ht="15" hidden="false" customHeight="false" outlineLevel="0" collapsed="false">
      <c r="A22" s="7" t="n">
        <v>19</v>
      </c>
      <c r="B22" s="8"/>
      <c r="C22" s="8"/>
      <c r="D22" s="8"/>
      <c r="E22" s="8"/>
      <c r="F22" s="8"/>
      <c r="G22" s="8"/>
      <c r="H22" s="9"/>
      <c r="I22" s="10" t="str">
        <f aca="false">IF(C22="","",VLOOKUP(C22,Références!A:B,2,FALSE()))</f>
        <v/>
      </c>
      <c r="J22" s="11" t="str">
        <f aca="false">IF(OR(H22="",I22=""),"",IF(E22="Oui",H22+I22-60,H22+I22-55))</f>
        <v/>
      </c>
      <c r="K22" s="11" t="str">
        <f aca="false">IF(OR(H22="",I22=""),"",H22+I22)</f>
        <v/>
      </c>
      <c r="L22" s="9"/>
      <c r="M22" s="8"/>
      <c r="N22" s="8"/>
      <c r="O22" s="8"/>
      <c r="P22" s="11" t="str">
        <f aca="false">IF(L22="","",L22+60)</f>
        <v/>
      </c>
      <c r="Q22" s="10" t="str">
        <f aca="true">IF(H22="","",IF(L22&lt;&gt;"","✅ Vêlée",IF(TODAY()&gt;=K22,"⚠️ Terme dépassé",IF(TODAY()&gt;=J22,"🔶 Tarie",IF(TODAY()&gt;=H22,"🟢 Gestante","")))))</f>
        <v/>
      </c>
      <c r="R22" s="8"/>
    </row>
    <row r="23" customFormat="false" ht="15" hidden="false" customHeight="false" outlineLevel="0" collapsed="false">
      <c r="A23" s="12" t="n">
        <v>20</v>
      </c>
      <c r="B23" s="12"/>
      <c r="C23" s="12"/>
      <c r="D23" s="12"/>
      <c r="E23" s="12"/>
      <c r="F23" s="12"/>
      <c r="G23" s="12"/>
      <c r="H23" s="13"/>
      <c r="I23" s="10" t="str">
        <f aca="false">IF(C23="","",VLOOKUP(C23,Références!A:B,2,FALSE()))</f>
        <v/>
      </c>
      <c r="J23" s="11" t="str">
        <f aca="false">IF(OR(H23="",I23=""),"",IF(E23="Oui",H23+I23-60,H23+I23-55))</f>
        <v/>
      </c>
      <c r="K23" s="11" t="str">
        <f aca="false">IF(OR(H23="",I23=""),"",H23+I23)</f>
        <v/>
      </c>
      <c r="L23" s="13"/>
      <c r="M23" s="12"/>
      <c r="N23" s="12"/>
      <c r="O23" s="12"/>
      <c r="P23" s="11" t="str">
        <f aca="false">IF(L23="","",L23+60)</f>
        <v/>
      </c>
      <c r="Q23" s="10" t="str">
        <f aca="true">IF(H23="","",IF(L23&lt;&gt;"","✅ Vêlée",IF(TODAY()&gt;=K23,"⚠️ Terme dépassé",IF(TODAY()&gt;=J23,"🔶 Tarie",IF(TODAY()&gt;=H23,"🟢 Gestante","")))))</f>
        <v/>
      </c>
      <c r="R23" s="12"/>
    </row>
    <row r="24" customFormat="false" ht="15" hidden="false" customHeight="false" outlineLevel="0" collapsed="false">
      <c r="A24" s="7" t="n">
        <v>21</v>
      </c>
      <c r="B24" s="8"/>
      <c r="C24" s="8"/>
      <c r="D24" s="8"/>
      <c r="E24" s="8"/>
      <c r="F24" s="8"/>
      <c r="G24" s="8"/>
      <c r="H24" s="9"/>
      <c r="I24" s="10" t="str">
        <f aca="false">IF(C24="","",VLOOKUP(C24,Références!A:B,2,FALSE()))</f>
        <v/>
      </c>
      <c r="J24" s="11" t="str">
        <f aca="false">IF(OR(H24="",I24=""),"",IF(E24="Oui",H24+I24-60,H24+I24-55))</f>
        <v/>
      </c>
      <c r="K24" s="11" t="str">
        <f aca="false">IF(OR(H24="",I24=""),"",H24+I24)</f>
        <v/>
      </c>
      <c r="L24" s="9"/>
      <c r="M24" s="8"/>
      <c r="N24" s="8"/>
      <c r="O24" s="8"/>
      <c r="P24" s="11" t="str">
        <f aca="false">IF(L24="","",L24+60)</f>
        <v/>
      </c>
      <c r="Q24" s="10" t="str">
        <f aca="true">IF(H24="","",IF(L24&lt;&gt;"","✅ Vêlée",IF(TODAY()&gt;=K24,"⚠️ Terme dépassé",IF(TODAY()&gt;=J24,"🔶 Tarie",IF(TODAY()&gt;=H24,"🟢 Gestante","")))))</f>
        <v/>
      </c>
      <c r="R24" s="8"/>
    </row>
    <row r="25" customFormat="false" ht="15" hidden="false" customHeight="false" outlineLevel="0" collapsed="false">
      <c r="A25" s="12" t="n">
        <v>22</v>
      </c>
      <c r="B25" s="12"/>
      <c r="C25" s="12"/>
      <c r="D25" s="12"/>
      <c r="E25" s="12"/>
      <c r="F25" s="12"/>
      <c r="G25" s="12"/>
      <c r="H25" s="13"/>
      <c r="I25" s="10" t="str">
        <f aca="false">IF(C25="","",VLOOKUP(C25,Références!A:B,2,FALSE()))</f>
        <v/>
      </c>
      <c r="J25" s="11" t="str">
        <f aca="false">IF(OR(H25="",I25=""),"",IF(E25="Oui",H25+I25-60,H25+I25-55))</f>
        <v/>
      </c>
      <c r="K25" s="11" t="str">
        <f aca="false">IF(OR(H25="",I25=""),"",H25+I25)</f>
        <v/>
      </c>
      <c r="L25" s="13"/>
      <c r="M25" s="12"/>
      <c r="N25" s="12"/>
      <c r="O25" s="12"/>
      <c r="P25" s="11" t="str">
        <f aca="false">IF(L25="","",L25+60)</f>
        <v/>
      </c>
      <c r="Q25" s="10" t="str">
        <f aca="true">IF(H25="","",IF(L25&lt;&gt;"","✅ Vêlée",IF(TODAY()&gt;=K25,"⚠️ Terme dépassé",IF(TODAY()&gt;=J25,"🔶 Tarie",IF(TODAY()&gt;=H25,"🟢 Gestante","")))))</f>
        <v/>
      </c>
      <c r="R25" s="12"/>
    </row>
    <row r="26" customFormat="false" ht="15" hidden="false" customHeight="false" outlineLevel="0" collapsed="false">
      <c r="A26" s="7" t="n">
        <v>23</v>
      </c>
      <c r="B26" s="8"/>
      <c r="C26" s="8"/>
      <c r="D26" s="8"/>
      <c r="E26" s="8"/>
      <c r="F26" s="8"/>
      <c r="G26" s="8"/>
      <c r="H26" s="9"/>
      <c r="I26" s="10" t="str">
        <f aca="false">IF(C26="","",VLOOKUP(C26,Références!A:B,2,FALSE()))</f>
        <v/>
      </c>
      <c r="J26" s="11" t="str">
        <f aca="false">IF(OR(H26="",I26=""),"",IF(E26="Oui",H26+I26-60,H26+I26-55))</f>
        <v/>
      </c>
      <c r="K26" s="11" t="str">
        <f aca="false">IF(OR(H26="",I26=""),"",H26+I26)</f>
        <v/>
      </c>
      <c r="L26" s="9"/>
      <c r="M26" s="8"/>
      <c r="N26" s="8"/>
      <c r="O26" s="8"/>
      <c r="P26" s="11" t="str">
        <f aca="false">IF(L26="","",L26+60)</f>
        <v/>
      </c>
      <c r="Q26" s="10" t="str">
        <f aca="true">IF(H26="","",IF(L26&lt;&gt;"","✅ Vêlée",IF(TODAY()&gt;=K26,"⚠️ Terme dépassé",IF(TODAY()&gt;=J26,"🔶 Tarie",IF(TODAY()&gt;=H26,"🟢 Gestante","")))))</f>
        <v/>
      </c>
      <c r="R26" s="8"/>
    </row>
    <row r="27" customFormat="false" ht="15" hidden="false" customHeight="false" outlineLevel="0" collapsed="false">
      <c r="A27" s="12" t="n">
        <v>24</v>
      </c>
      <c r="B27" s="12"/>
      <c r="C27" s="12"/>
      <c r="D27" s="12"/>
      <c r="E27" s="12"/>
      <c r="F27" s="12"/>
      <c r="G27" s="12"/>
      <c r="H27" s="13"/>
      <c r="I27" s="10" t="str">
        <f aca="false">IF(C27="","",VLOOKUP(C27,Références!A:B,2,FALSE()))</f>
        <v/>
      </c>
      <c r="J27" s="11" t="str">
        <f aca="false">IF(OR(H27="",I27=""),"",IF(E27="Oui",H27+I27-60,H27+I27-55))</f>
        <v/>
      </c>
      <c r="K27" s="11" t="str">
        <f aca="false">IF(OR(H27="",I27=""),"",H27+I27)</f>
        <v/>
      </c>
      <c r="L27" s="13"/>
      <c r="M27" s="12"/>
      <c r="N27" s="12"/>
      <c r="O27" s="12"/>
      <c r="P27" s="11" t="str">
        <f aca="false">IF(L27="","",L27+60)</f>
        <v/>
      </c>
      <c r="Q27" s="10" t="str">
        <f aca="true">IF(H27="","",IF(L27&lt;&gt;"","✅ Vêlée",IF(TODAY()&gt;=K27,"⚠️ Terme dépassé",IF(TODAY()&gt;=J27,"🔶 Tarie",IF(TODAY()&gt;=H27,"🟢 Gestante","")))))</f>
        <v/>
      </c>
      <c r="R27" s="12"/>
    </row>
    <row r="28" customFormat="false" ht="15" hidden="false" customHeight="false" outlineLevel="0" collapsed="false">
      <c r="A28" s="7" t="n">
        <v>25</v>
      </c>
      <c r="B28" s="8"/>
      <c r="C28" s="8"/>
      <c r="D28" s="8"/>
      <c r="E28" s="8"/>
      <c r="F28" s="8"/>
      <c r="G28" s="8"/>
      <c r="H28" s="9"/>
      <c r="I28" s="10" t="str">
        <f aca="false">IF(C28="","",VLOOKUP(C28,Références!A:B,2,FALSE()))</f>
        <v/>
      </c>
      <c r="J28" s="11" t="str">
        <f aca="false">IF(OR(H28="",I28=""),"",IF(E28="Oui",H28+I28-60,H28+I28-55))</f>
        <v/>
      </c>
      <c r="K28" s="11" t="str">
        <f aca="false">IF(OR(H28="",I28=""),"",H28+I28)</f>
        <v/>
      </c>
      <c r="L28" s="9"/>
      <c r="M28" s="8"/>
      <c r="N28" s="8"/>
      <c r="O28" s="8"/>
      <c r="P28" s="11" t="str">
        <f aca="false">IF(L28="","",L28+60)</f>
        <v/>
      </c>
      <c r="Q28" s="10" t="str">
        <f aca="true">IF(H28="","",IF(L28&lt;&gt;"","✅ Vêlée",IF(TODAY()&gt;=K28,"⚠️ Terme dépassé",IF(TODAY()&gt;=J28,"🔶 Tarie",IF(TODAY()&gt;=H28,"🟢 Gestante","")))))</f>
        <v/>
      </c>
      <c r="R28" s="8"/>
    </row>
    <row r="29" customFormat="false" ht="15" hidden="false" customHeight="false" outlineLevel="0" collapsed="false">
      <c r="A29" s="12" t="n">
        <v>26</v>
      </c>
      <c r="B29" s="12"/>
      <c r="C29" s="12"/>
      <c r="D29" s="12"/>
      <c r="E29" s="12"/>
      <c r="F29" s="12"/>
      <c r="G29" s="12"/>
      <c r="H29" s="13"/>
      <c r="I29" s="10" t="str">
        <f aca="false">IF(C29="","",VLOOKUP(C29,Références!A:B,2,FALSE()))</f>
        <v/>
      </c>
      <c r="J29" s="11" t="str">
        <f aca="false">IF(OR(H29="",I29=""),"",IF(E29="Oui",H29+I29-60,H29+I29-55))</f>
        <v/>
      </c>
      <c r="K29" s="11" t="str">
        <f aca="false">IF(OR(H29="",I29=""),"",H29+I29)</f>
        <v/>
      </c>
      <c r="L29" s="13"/>
      <c r="M29" s="12"/>
      <c r="N29" s="12"/>
      <c r="O29" s="12"/>
      <c r="P29" s="11" t="str">
        <f aca="false">IF(L29="","",L29+60)</f>
        <v/>
      </c>
      <c r="Q29" s="10" t="str">
        <f aca="true">IF(H29="","",IF(L29&lt;&gt;"","✅ Vêlée",IF(TODAY()&gt;=K29,"⚠️ Terme dépassé",IF(TODAY()&gt;=J29,"🔶 Tarie",IF(TODAY()&gt;=H29,"🟢 Gestante","")))))</f>
        <v/>
      </c>
      <c r="R29" s="12"/>
    </row>
    <row r="30" customFormat="false" ht="15" hidden="false" customHeight="false" outlineLevel="0" collapsed="false">
      <c r="A30" s="7" t="n">
        <v>27</v>
      </c>
      <c r="B30" s="8"/>
      <c r="C30" s="8"/>
      <c r="D30" s="8"/>
      <c r="E30" s="8"/>
      <c r="F30" s="8"/>
      <c r="G30" s="8"/>
      <c r="H30" s="9"/>
      <c r="I30" s="10" t="str">
        <f aca="false">IF(C30="","",VLOOKUP(C30,Références!A:B,2,FALSE()))</f>
        <v/>
      </c>
      <c r="J30" s="11" t="str">
        <f aca="false">IF(OR(H30="",I30=""),"",IF(E30="Oui",H30+I30-60,H30+I30-55))</f>
        <v/>
      </c>
      <c r="K30" s="11" t="str">
        <f aca="false">IF(OR(H30="",I30=""),"",H30+I30)</f>
        <v/>
      </c>
      <c r="L30" s="9"/>
      <c r="M30" s="8"/>
      <c r="N30" s="8"/>
      <c r="O30" s="8"/>
      <c r="P30" s="11" t="str">
        <f aca="false">IF(L30="","",L30+60)</f>
        <v/>
      </c>
      <c r="Q30" s="10" t="str">
        <f aca="true">IF(H30="","",IF(L30&lt;&gt;"","✅ Vêlée",IF(TODAY()&gt;=K30,"⚠️ Terme dépassé",IF(TODAY()&gt;=J30,"🔶 Tarie",IF(TODAY()&gt;=H30,"🟢 Gestante","")))))</f>
        <v/>
      </c>
      <c r="R30" s="8"/>
    </row>
    <row r="31" customFormat="false" ht="15" hidden="false" customHeight="false" outlineLevel="0" collapsed="false">
      <c r="A31" s="12" t="n">
        <v>28</v>
      </c>
      <c r="B31" s="12"/>
      <c r="C31" s="12"/>
      <c r="D31" s="12"/>
      <c r="E31" s="12"/>
      <c r="F31" s="12"/>
      <c r="G31" s="12"/>
      <c r="H31" s="13"/>
      <c r="I31" s="10" t="str">
        <f aca="false">IF(C31="","",VLOOKUP(C31,Références!A:B,2,FALSE()))</f>
        <v/>
      </c>
      <c r="J31" s="11" t="str">
        <f aca="false">IF(OR(H31="",I31=""),"",IF(E31="Oui",H31+I31-60,H31+I31-55))</f>
        <v/>
      </c>
      <c r="K31" s="11" t="str">
        <f aca="false">IF(OR(H31="",I31=""),"",H31+I31)</f>
        <v/>
      </c>
      <c r="L31" s="13"/>
      <c r="M31" s="12"/>
      <c r="N31" s="12"/>
      <c r="O31" s="12"/>
      <c r="P31" s="11" t="str">
        <f aca="false">IF(L31="","",L31+60)</f>
        <v/>
      </c>
      <c r="Q31" s="10" t="str">
        <f aca="true">IF(H31="","",IF(L31&lt;&gt;"","✅ Vêlée",IF(TODAY()&gt;=K31,"⚠️ Terme dépassé",IF(TODAY()&gt;=J31,"🔶 Tarie",IF(TODAY()&gt;=H31,"🟢 Gestante","")))))</f>
        <v/>
      </c>
      <c r="R31" s="12"/>
    </row>
    <row r="32" customFormat="false" ht="15" hidden="false" customHeight="false" outlineLevel="0" collapsed="false">
      <c r="A32" s="7" t="n">
        <v>29</v>
      </c>
      <c r="B32" s="8"/>
      <c r="C32" s="8"/>
      <c r="D32" s="8"/>
      <c r="E32" s="8"/>
      <c r="F32" s="8"/>
      <c r="G32" s="8"/>
      <c r="H32" s="9"/>
      <c r="I32" s="10" t="str">
        <f aca="false">IF(C32="","",VLOOKUP(C32,Références!A:B,2,FALSE()))</f>
        <v/>
      </c>
      <c r="J32" s="11" t="str">
        <f aca="false">IF(OR(H32="",I32=""),"",IF(E32="Oui",H32+I32-60,H32+I32-55))</f>
        <v/>
      </c>
      <c r="K32" s="11" t="str">
        <f aca="false">IF(OR(H32="",I32=""),"",H32+I32)</f>
        <v/>
      </c>
      <c r="L32" s="9"/>
      <c r="M32" s="8"/>
      <c r="N32" s="8"/>
      <c r="O32" s="8"/>
      <c r="P32" s="11" t="str">
        <f aca="false">IF(L32="","",L32+60)</f>
        <v/>
      </c>
      <c r="Q32" s="10" t="str">
        <f aca="true">IF(H32="","",IF(L32&lt;&gt;"","✅ Vêlée",IF(TODAY()&gt;=K32,"⚠️ Terme dépassé",IF(TODAY()&gt;=J32,"🔶 Tarie",IF(TODAY()&gt;=H32,"🟢 Gestante","")))))</f>
        <v/>
      </c>
      <c r="R32" s="8"/>
    </row>
    <row r="33" customFormat="false" ht="15" hidden="false" customHeight="false" outlineLevel="0" collapsed="false">
      <c r="A33" s="12" t="n">
        <v>30</v>
      </c>
      <c r="B33" s="12"/>
      <c r="C33" s="12"/>
      <c r="D33" s="12"/>
      <c r="E33" s="12"/>
      <c r="F33" s="12"/>
      <c r="G33" s="12"/>
      <c r="H33" s="13"/>
      <c r="I33" s="10" t="str">
        <f aca="false">IF(C33="","",VLOOKUP(C33,Références!A:B,2,FALSE()))</f>
        <v/>
      </c>
      <c r="J33" s="11" t="str">
        <f aca="false">IF(OR(H33="",I33=""),"",IF(E33="Oui",H33+I33-60,H33+I33-55))</f>
        <v/>
      </c>
      <c r="K33" s="11" t="str">
        <f aca="false">IF(OR(H33="",I33=""),"",H33+I33)</f>
        <v/>
      </c>
      <c r="L33" s="13"/>
      <c r="M33" s="12"/>
      <c r="N33" s="12"/>
      <c r="O33" s="12"/>
      <c r="P33" s="11" t="str">
        <f aca="false">IF(L33="","",L33+60)</f>
        <v/>
      </c>
      <c r="Q33" s="10" t="str">
        <f aca="true">IF(H33="","",IF(L33&lt;&gt;"","✅ Vêlée",IF(TODAY()&gt;=K33,"⚠️ Terme dépassé",IF(TODAY()&gt;=J33,"🔶 Tarie",IF(TODAY()&gt;=H33,"🟢 Gestante","")))))</f>
        <v/>
      </c>
      <c r="R33" s="12"/>
    </row>
    <row r="34" customFormat="false" ht="15" hidden="false" customHeight="false" outlineLevel="0" collapsed="false">
      <c r="A34" s="7" t="n">
        <v>31</v>
      </c>
      <c r="B34" s="8"/>
      <c r="C34" s="8"/>
      <c r="D34" s="8"/>
      <c r="E34" s="8"/>
      <c r="F34" s="8"/>
      <c r="G34" s="8"/>
      <c r="H34" s="9"/>
      <c r="I34" s="10" t="str">
        <f aca="false">IF(C34="","",VLOOKUP(C34,Références!A:B,2,FALSE()))</f>
        <v/>
      </c>
      <c r="J34" s="11" t="str">
        <f aca="false">IF(OR(H34="",I34=""),"",IF(E34="Oui",H34+I34-60,H34+I34-55))</f>
        <v/>
      </c>
      <c r="K34" s="11" t="str">
        <f aca="false">IF(OR(H34="",I34=""),"",H34+I34)</f>
        <v/>
      </c>
      <c r="L34" s="9"/>
      <c r="M34" s="8"/>
      <c r="N34" s="8"/>
      <c r="O34" s="8"/>
      <c r="P34" s="11" t="str">
        <f aca="false">IF(L34="","",L34+60)</f>
        <v/>
      </c>
      <c r="Q34" s="10" t="str">
        <f aca="true">IF(H34="","",IF(L34&lt;&gt;"","✅ Vêlée",IF(TODAY()&gt;=K34,"⚠️ Terme dépassé",IF(TODAY()&gt;=J34,"🔶 Tarie",IF(TODAY()&gt;=H34,"🟢 Gestante","")))))</f>
        <v/>
      </c>
      <c r="R34" s="8"/>
    </row>
    <row r="35" customFormat="false" ht="15" hidden="false" customHeight="false" outlineLevel="0" collapsed="false">
      <c r="A35" s="12" t="n">
        <v>32</v>
      </c>
      <c r="B35" s="12"/>
      <c r="C35" s="12"/>
      <c r="D35" s="12"/>
      <c r="E35" s="12"/>
      <c r="F35" s="12"/>
      <c r="G35" s="12"/>
      <c r="H35" s="13"/>
      <c r="I35" s="10" t="str">
        <f aca="false">IF(C35="","",VLOOKUP(C35,Références!A:B,2,FALSE()))</f>
        <v/>
      </c>
      <c r="J35" s="11" t="str">
        <f aca="false">IF(OR(H35="",I35=""),"",IF(E35="Oui",H35+I35-60,H35+I35-55))</f>
        <v/>
      </c>
      <c r="K35" s="11" t="str">
        <f aca="false">IF(OR(H35="",I35=""),"",H35+I35)</f>
        <v/>
      </c>
      <c r="L35" s="13"/>
      <c r="M35" s="12"/>
      <c r="N35" s="12"/>
      <c r="O35" s="12"/>
      <c r="P35" s="11" t="str">
        <f aca="false">IF(L35="","",L35+60)</f>
        <v/>
      </c>
      <c r="Q35" s="10" t="str">
        <f aca="true">IF(H35="","",IF(L35&lt;&gt;"","✅ Vêlée",IF(TODAY()&gt;=K35,"⚠️ Terme dépassé",IF(TODAY()&gt;=J35,"🔶 Tarie",IF(TODAY()&gt;=H35,"🟢 Gestante","")))))</f>
        <v/>
      </c>
      <c r="R35" s="12"/>
    </row>
    <row r="36" customFormat="false" ht="15" hidden="false" customHeight="false" outlineLevel="0" collapsed="false">
      <c r="A36" s="7" t="n">
        <v>33</v>
      </c>
      <c r="B36" s="8"/>
      <c r="C36" s="8"/>
      <c r="D36" s="8"/>
      <c r="E36" s="8"/>
      <c r="F36" s="8"/>
      <c r="G36" s="8"/>
      <c r="H36" s="9"/>
      <c r="I36" s="10" t="str">
        <f aca="false">IF(C36="","",VLOOKUP(C36,Références!A:B,2,FALSE()))</f>
        <v/>
      </c>
      <c r="J36" s="11" t="str">
        <f aca="false">IF(OR(H36="",I36=""),"",IF(E36="Oui",H36+I36-60,H36+I36-55))</f>
        <v/>
      </c>
      <c r="K36" s="11" t="str">
        <f aca="false">IF(OR(H36="",I36=""),"",H36+I36)</f>
        <v/>
      </c>
      <c r="L36" s="9"/>
      <c r="M36" s="8"/>
      <c r="N36" s="8"/>
      <c r="O36" s="8"/>
      <c r="P36" s="11" t="str">
        <f aca="false">IF(L36="","",L36+60)</f>
        <v/>
      </c>
      <c r="Q36" s="10" t="str">
        <f aca="true">IF(H36="","",IF(L36&lt;&gt;"","✅ Vêlée",IF(TODAY()&gt;=K36,"⚠️ Terme dépassé",IF(TODAY()&gt;=J36,"🔶 Tarie",IF(TODAY()&gt;=H36,"🟢 Gestante","")))))</f>
        <v/>
      </c>
      <c r="R36" s="8"/>
    </row>
    <row r="37" customFormat="false" ht="15" hidden="false" customHeight="false" outlineLevel="0" collapsed="false">
      <c r="A37" s="12" t="n">
        <v>34</v>
      </c>
      <c r="B37" s="12"/>
      <c r="C37" s="12"/>
      <c r="D37" s="12"/>
      <c r="E37" s="12"/>
      <c r="F37" s="12"/>
      <c r="G37" s="12"/>
      <c r="H37" s="13"/>
      <c r="I37" s="10" t="str">
        <f aca="false">IF(C37="","",VLOOKUP(C37,Références!A:B,2,FALSE()))</f>
        <v/>
      </c>
      <c r="J37" s="11" t="str">
        <f aca="false">IF(OR(H37="",I37=""),"",IF(E37="Oui",H37+I37-60,H37+I37-55))</f>
        <v/>
      </c>
      <c r="K37" s="11" t="str">
        <f aca="false">IF(OR(H37="",I37=""),"",H37+I37)</f>
        <v/>
      </c>
      <c r="L37" s="13"/>
      <c r="M37" s="12"/>
      <c r="N37" s="12"/>
      <c r="O37" s="12"/>
      <c r="P37" s="11" t="str">
        <f aca="false">IF(L37="","",L37+60)</f>
        <v/>
      </c>
      <c r="Q37" s="10" t="str">
        <f aca="true">IF(H37="","",IF(L37&lt;&gt;"","✅ Vêlée",IF(TODAY()&gt;=K37,"⚠️ Terme dépassé",IF(TODAY()&gt;=J37,"🔶 Tarie",IF(TODAY()&gt;=H37,"🟢 Gestante","")))))</f>
        <v/>
      </c>
      <c r="R37" s="12"/>
    </row>
    <row r="38" customFormat="false" ht="15" hidden="false" customHeight="false" outlineLevel="0" collapsed="false">
      <c r="A38" s="7" t="n">
        <v>35</v>
      </c>
      <c r="B38" s="8"/>
      <c r="C38" s="8"/>
      <c r="D38" s="8"/>
      <c r="E38" s="8"/>
      <c r="F38" s="8"/>
      <c r="G38" s="8"/>
      <c r="H38" s="9"/>
      <c r="I38" s="10" t="str">
        <f aca="false">IF(C38="","",VLOOKUP(C38,Références!A:B,2,FALSE()))</f>
        <v/>
      </c>
      <c r="J38" s="11" t="str">
        <f aca="false">IF(OR(H38="",I38=""),"",IF(E38="Oui",H38+I38-60,H38+I38-55))</f>
        <v/>
      </c>
      <c r="K38" s="11" t="str">
        <f aca="false">IF(OR(H38="",I38=""),"",H38+I38)</f>
        <v/>
      </c>
      <c r="L38" s="9"/>
      <c r="M38" s="8"/>
      <c r="N38" s="8"/>
      <c r="O38" s="8"/>
      <c r="P38" s="11" t="str">
        <f aca="false">IF(L38="","",L38+60)</f>
        <v/>
      </c>
      <c r="Q38" s="10" t="str">
        <f aca="true">IF(H38="","",IF(L38&lt;&gt;"","✅ Vêlée",IF(TODAY()&gt;=K38,"⚠️ Terme dépassé",IF(TODAY()&gt;=J38,"🔶 Tarie",IF(TODAY()&gt;=H38,"🟢 Gestante","")))))</f>
        <v/>
      </c>
      <c r="R38" s="8"/>
    </row>
    <row r="39" customFormat="false" ht="15" hidden="false" customHeight="false" outlineLevel="0" collapsed="false">
      <c r="A39" s="12" t="n">
        <v>36</v>
      </c>
      <c r="B39" s="12"/>
      <c r="C39" s="12"/>
      <c r="D39" s="12"/>
      <c r="E39" s="12"/>
      <c r="F39" s="12"/>
      <c r="G39" s="12"/>
      <c r="H39" s="13"/>
      <c r="I39" s="10" t="str">
        <f aca="false">IF(C39="","",VLOOKUP(C39,Références!A:B,2,FALSE()))</f>
        <v/>
      </c>
      <c r="J39" s="11" t="str">
        <f aca="false">IF(OR(H39="",I39=""),"",IF(E39="Oui",H39+I39-60,H39+I39-55))</f>
        <v/>
      </c>
      <c r="K39" s="11" t="str">
        <f aca="false">IF(OR(H39="",I39=""),"",H39+I39)</f>
        <v/>
      </c>
      <c r="L39" s="13"/>
      <c r="M39" s="12"/>
      <c r="N39" s="12"/>
      <c r="O39" s="12"/>
      <c r="P39" s="11" t="str">
        <f aca="false">IF(L39="","",L39+60)</f>
        <v/>
      </c>
      <c r="Q39" s="10" t="str">
        <f aca="true">IF(H39="","",IF(L39&lt;&gt;"","✅ Vêlée",IF(TODAY()&gt;=K39,"⚠️ Terme dépassé",IF(TODAY()&gt;=J39,"🔶 Tarie",IF(TODAY()&gt;=H39,"🟢 Gestante","")))))</f>
        <v/>
      </c>
      <c r="R39" s="12"/>
    </row>
    <row r="40" customFormat="false" ht="15" hidden="false" customHeight="false" outlineLevel="0" collapsed="false">
      <c r="A40" s="7" t="n">
        <v>37</v>
      </c>
      <c r="B40" s="8"/>
      <c r="C40" s="8"/>
      <c r="D40" s="8"/>
      <c r="E40" s="8"/>
      <c r="F40" s="8"/>
      <c r="G40" s="8"/>
      <c r="H40" s="9"/>
      <c r="I40" s="10" t="str">
        <f aca="false">IF(C40="","",VLOOKUP(C40,Références!A:B,2,FALSE()))</f>
        <v/>
      </c>
      <c r="J40" s="11" t="str">
        <f aca="false">IF(OR(H40="",I40=""),"",IF(E40="Oui",H40+I40-60,H40+I40-55))</f>
        <v/>
      </c>
      <c r="K40" s="11" t="str">
        <f aca="false">IF(OR(H40="",I40=""),"",H40+I40)</f>
        <v/>
      </c>
      <c r="L40" s="9"/>
      <c r="M40" s="8"/>
      <c r="N40" s="8"/>
      <c r="O40" s="8"/>
      <c r="P40" s="11" t="str">
        <f aca="false">IF(L40="","",L40+60)</f>
        <v/>
      </c>
      <c r="Q40" s="10" t="str">
        <f aca="true">IF(H40="","",IF(L40&lt;&gt;"","✅ Vêlée",IF(TODAY()&gt;=K40,"⚠️ Terme dépassé",IF(TODAY()&gt;=J40,"🔶 Tarie",IF(TODAY()&gt;=H40,"🟢 Gestante","")))))</f>
        <v/>
      </c>
      <c r="R40" s="8"/>
    </row>
    <row r="41" customFormat="false" ht="15" hidden="false" customHeight="false" outlineLevel="0" collapsed="false">
      <c r="A41" s="12" t="n">
        <v>38</v>
      </c>
      <c r="B41" s="12"/>
      <c r="C41" s="12"/>
      <c r="D41" s="12"/>
      <c r="E41" s="12"/>
      <c r="F41" s="12"/>
      <c r="G41" s="12"/>
      <c r="H41" s="13"/>
      <c r="I41" s="10" t="str">
        <f aca="false">IF(C41="","",VLOOKUP(C41,Références!A:B,2,FALSE()))</f>
        <v/>
      </c>
      <c r="J41" s="11" t="str">
        <f aca="false">IF(OR(H41="",I41=""),"",IF(E41="Oui",H41+I41-60,H41+I41-55))</f>
        <v/>
      </c>
      <c r="K41" s="11" t="str">
        <f aca="false">IF(OR(H41="",I41=""),"",H41+I41)</f>
        <v/>
      </c>
      <c r="L41" s="13"/>
      <c r="M41" s="12"/>
      <c r="N41" s="12"/>
      <c r="O41" s="12"/>
      <c r="P41" s="11" t="str">
        <f aca="false">IF(L41="","",L41+60)</f>
        <v/>
      </c>
      <c r="Q41" s="10" t="str">
        <f aca="true">IF(H41="","",IF(L41&lt;&gt;"","✅ Vêlée",IF(TODAY()&gt;=K41,"⚠️ Terme dépassé",IF(TODAY()&gt;=J41,"🔶 Tarie",IF(TODAY()&gt;=H41,"🟢 Gestante","")))))</f>
        <v/>
      </c>
      <c r="R41" s="12"/>
    </row>
    <row r="42" customFormat="false" ht="15" hidden="false" customHeight="false" outlineLevel="0" collapsed="false">
      <c r="A42" s="7" t="n">
        <v>39</v>
      </c>
      <c r="B42" s="8"/>
      <c r="C42" s="8"/>
      <c r="D42" s="8"/>
      <c r="E42" s="8"/>
      <c r="F42" s="8"/>
      <c r="G42" s="8"/>
      <c r="H42" s="9"/>
      <c r="I42" s="10" t="str">
        <f aca="false">IF(C42="","",VLOOKUP(C42,Références!A:B,2,FALSE()))</f>
        <v/>
      </c>
      <c r="J42" s="11" t="str">
        <f aca="false">IF(OR(H42="",I42=""),"",IF(E42="Oui",H42+I42-60,H42+I42-55))</f>
        <v/>
      </c>
      <c r="K42" s="11" t="str">
        <f aca="false">IF(OR(H42="",I42=""),"",H42+I42)</f>
        <v/>
      </c>
      <c r="L42" s="9"/>
      <c r="M42" s="8"/>
      <c r="N42" s="8"/>
      <c r="O42" s="8"/>
      <c r="P42" s="11" t="str">
        <f aca="false">IF(L42="","",L42+60)</f>
        <v/>
      </c>
      <c r="Q42" s="10" t="str">
        <f aca="true">IF(H42="","",IF(L42&lt;&gt;"","✅ Vêlée",IF(TODAY()&gt;=K42,"⚠️ Terme dépassé",IF(TODAY()&gt;=J42,"🔶 Tarie",IF(TODAY()&gt;=H42,"🟢 Gestante","")))))</f>
        <v/>
      </c>
      <c r="R42" s="8"/>
    </row>
    <row r="43" customFormat="false" ht="15" hidden="false" customHeight="false" outlineLevel="0" collapsed="false">
      <c r="A43" s="12" t="n">
        <v>40</v>
      </c>
      <c r="B43" s="12"/>
      <c r="C43" s="12"/>
      <c r="D43" s="12"/>
      <c r="E43" s="12"/>
      <c r="F43" s="12"/>
      <c r="G43" s="12"/>
      <c r="H43" s="13"/>
      <c r="I43" s="10" t="str">
        <f aca="false">IF(C43="","",VLOOKUP(C43,Références!A:B,2,FALSE()))</f>
        <v/>
      </c>
      <c r="J43" s="11" t="str">
        <f aca="false">IF(OR(H43="",I43=""),"",IF(E43="Oui",H43+I43-60,H43+I43-55))</f>
        <v/>
      </c>
      <c r="K43" s="11" t="str">
        <f aca="false">IF(OR(H43="",I43=""),"",H43+I43)</f>
        <v/>
      </c>
      <c r="L43" s="13"/>
      <c r="M43" s="12"/>
      <c r="N43" s="12"/>
      <c r="O43" s="12"/>
      <c r="P43" s="11" t="str">
        <f aca="false">IF(L43="","",L43+60)</f>
        <v/>
      </c>
      <c r="Q43" s="10" t="str">
        <f aca="true">IF(H43="","",IF(L43&lt;&gt;"","✅ Vêlée",IF(TODAY()&gt;=K43,"⚠️ Terme dépassé",IF(TODAY()&gt;=J43,"🔶 Tarie",IF(TODAY()&gt;=H43,"🟢 Gestante","")))))</f>
        <v/>
      </c>
      <c r="R43" s="12"/>
    </row>
    <row r="44" customFormat="false" ht="15" hidden="false" customHeight="false" outlineLevel="0" collapsed="false">
      <c r="A44" s="7" t="n">
        <v>41</v>
      </c>
      <c r="B44" s="8"/>
      <c r="C44" s="8"/>
      <c r="D44" s="8"/>
      <c r="E44" s="8"/>
      <c r="F44" s="8"/>
      <c r="G44" s="8"/>
      <c r="H44" s="9"/>
      <c r="I44" s="10" t="str">
        <f aca="false">IF(C44="","",VLOOKUP(C44,Références!A:B,2,FALSE()))</f>
        <v/>
      </c>
      <c r="J44" s="11" t="str">
        <f aca="false">IF(OR(H44="",I44=""),"",IF(E44="Oui",H44+I44-60,H44+I44-55))</f>
        <v/>
      </c>
      <c r="K44" s="11" t="str">
        <f aca="false">IF(OR(H44="",I44=""),"",H44+I44)</f>
        <v/>
      </c>
      <c r="L44" s="9"/>
      <c r="M44" s="8"/>
      <c r="N44" s="8"/>
      <c r="O44" s="8"/>
      <c r="P44" s="11" t="str">
        <f aca="false">IF(L44="","",L44+60)</f>
        <v/>
      </c>
      <c r="Q44" s="10" t="str">
        <f aca="true">IF(H44="","",IF(L44&lt;&gt;"","✅ Vêlée",IF(TODAY()&gt;=K44,"⚠️ Terme dépassé",IF(TODAY()&gt;=J44,"🔶 Tarie",IF(TODAY()&gt;=H44,"🟢 Gestante","")))))</f>
        <v/>
      </c>
      <c r="R44" s="8"/>
    </row>
    <row r="45" customFormat="false" ht="15" hidden="false" customHeight="false" outlineLevel="0" collapsed="false">
      <c r="A45" s="12" t="n">
        <v>42</v>
      </c>
      <c r="B45" s="12"/>
      <c r="C45" s="12"/>
      <c r="D45" s="12"/>
      <c r="E45" s="12"/>
      <c r="F45" s="12"/>
      <c r="G45" s="12"/>
      <c r="H45" s="13"/>
      <c r="I45" s="10" t="str">
        <f aca="false">IF(C45="","",VLOOKUP(C45,Références!A:B,2,FALSE()))</f>
        <v/>
      </c>
      <c r="J45" s="11" t="str">
        <f aca="false">IF(OR(H45="",I45=""),"",IF(E45="Oui",H45+I45-60,H45+I45-55))</f>
        <v/>
      </c>
      <c r="K45" s="11" t="str">
        <f aca="false">IF(OR(H45="",I45=""),"",H45+I45)</f>
        <v/>
      </c>
      <c r="L45" s="13"/>
      <c r="M45" s="12"/>
      <c r="N45" s="12"/>
      <c r="O45" s="12"/>
      <c r="P45" s="11" t="str">
        <f aca="false">IF(L45="","",L45+60)</f>
        <v/>
      </c>
      <c r="Q45" s="10" t="str">
        <f aca="true">IF(H45="","",IF(L45&lt;&gt;"","✅ Vêlée",IF(TODAY()&gt;=K45,"⚠️ Terme dépassé",IF(TODAY()&gt;=J45,"🔶 Tarie",IF(TODAY()&gt;=H45,"🟢 Gestante","")))))</f>
        <v/>
      </c>
      <c r="R45" s="12"/>
    </row>
    <row r="46" customFormat="false" ht="15" hidden="false" customHeight="false" outlineLevel="0" collapsed="false">
      <c r="A46" s="7" t="n">
        <v>43</v>
      </c>
      <c r="B46" s="8"/>
      <c r="C46" s="8"/>
      <c r="D46" s="8"/>
      <c r="E46" s="8"/>
      <c r="F46" s="8"/>
      <c r="G46" s="8"/>
      <c r="H46" s="9"/>
      <c r="I46" s="10" t="str">
        <f aca="false">IF(C46="","",VLOOKUP(C46,Références!A:B,2,FALSE()))</f>
        <v/>
      </c>
      <c r="J46" s="11" t="str">
        <f aca="false">IF(OR(H46="",I46=""),"",IF(E46="Oui",H46+I46-60,H46+I46-55))</f>
        <v/>
      </c>
      <c r="K46" s="11" t="str">
        <f aca="false">IF(OR(H46="",I46=""),"",H46+I46)</f>
        <v/>
      </c>
      <c r="L46" s="9"/>
      <c r="M46" s="8"/>
      <c r="N46" s="8"/>
      <c r="O46" s="8"/>
      <c r="P46" s="11" t="str">
        <f aca="false">IF(L46="","",L46+60)</f>
        <v/>
      </c>
      <c r="Q46" s="10" t="str">
        <f aca="true">IF(H46="","",IF(L46&lt;&gt;"","✅ Vêlée",IF(TODAY()&gt;=K46,"⚠️ Terme dépassé",IF(TODAY()&gt;=J46,"🔶 Tarie",IF(TODAY()&gt;=H46,"🟢 Gestante","")))))</f>
        <v/>
      </c>
      <c r="R46" s="8"/>
    </row>
    <row r="47" customFormat="false" ht="15" hidden="false" customHeight="false" outlineLevel="0" collapsed="false">
      <c r="A47" s="12" t="n">
        <v>44</v>
      </c>
      <c r="B47" s="12"/>
      <c r="C47" s="12"/>
      <c r="D47" s="12"/>
      <c r="E47" s="12"/>
      <c r="F47" s="12"/>
      <c r="G47" s="12"/>
      <c r="H47" s="13"/>
      <c r="I47" s="10" t="str">
        <f aca="false">IF(C47="","",VLOOKUP(C47,Références!A:B,2,FALSE()))</f>
        <v/>
      </c>
      <c r="J47" s="11" t="str">
        <f aca="false">IF(OR(H47="",I47=""),"",IF(E47="Oui",H47+I47-60,H47+I47-55))</f>
        <v/>
      </c>
      <c r="K47" s="11" t="str">
        <f aca="false">IF(OR(H47="",I47=""),"",H47+I47)</f>
        <v/>
      </c>
      <c r="L47" s="13"/>
      <c r="M47" s="12"/>
      <c r="N47" s="12"/>
      <c r="O47" s="12"/>
      <c r="P47" s="11" t="str">
        <f aca="false">IF(L47="","",L47+60)</f>
        <v/>
      </c>
      <c r="Q47" s="10" t="str">
        <f aca="true">IF(H47="","",IF(L47&lt;&gt;"","✅ Vêlée",IF(TODAY()&gt;=K47,"⚠️ Terme dépassé",IF(TODAY()&gt;=J47,"🔶 Tarie",IF(TODAY()&gt;=H47,"🟢 Gestante","")))))</f>
        <v/>
      </c>
      <c r="R47" s="12"/>
    </row>
    <row r="48" customFormat="false" ht="15" hidden="false" customHeight="false" outlineLevel="0" collapsed="false">
      <c r="A48" s="7" t="n">
        <v>45</v>
      </c>
      <c r="B48" s="8"/>
      <c r="C48" s="8"/>
      <c r="D48" s="8"/>
      <c r="E48" s="8"/>
      <c r="F48" s="8"/>
      <c r="G48" s="8"/>
      <c r="H48" s="9"/>
      <c r="I48" s="10" t="str">
        <f aca="false">IF(C48="","",VLOOKUP(C48,Références!A:B,2,FALSE()))</f>
        <v/>
      </c>
      <c r="J48" s="11" t="str">
        <f aca="false">IF(OR(H48="",I48=""),"",IF(E48="Oui",H48+I48-60,H48+I48-55))</f>
        <v/>
      </c>
      <c r="K48" s="11" t="str">
        <f aca="false">IF(OR(H48="",I48=""),"",H48+I48)</f>
        <v/>
      </c>
      <c r="L48" s="9"/>
      <c r="M48" s="8"/>
      <c r="N48" s="8"/>
      <c r="O48" s="8"/>
      <c r="P48" s="11" t="str">
        <f aca="false">IF(L48="","",L48+60)</f>
        <v/>
      </c>
      <c r="Q48" s="10" t="str">
        <f aca="true">IF(H48="","",IF(L48&lt;&gt;"","✅ Vêlée",IF(TODAY()&gt;=K48,"⚠️ Terme dépassé",IF(TODAY()&gt;=J48,"🔶 Tarie",IF(TODAY()&gt;=H48,"🟢 Gestante","")))))</f>
        <v/>
      </c>
      <c r="R48" s="8"/>
    </row>
    <row r="49" customFormat="false" ht="15" hidden="false" customHeight="false" outlineLevel="0" collapsed="false">
      <c r="A49" s="12" t="n">
        <v>46</v>
      </c>
      <c r="B49" s="12"/>
      <c r="C49" s="12"/>
      <c r="D49" s="12"/>
      <c r="E49" s="12"/>
      <c r="F49" s="12"/>
      <c r="G49" s="12"/>
      <c r="H49" s="13"/>
      <c r="I49" s="10" t="str">
        <f aca="false">IF(C49="","",VLOOKUP(C49,Références!A:B,2,FALSE()))</f>
        <v/>
      </c>
      <c r="J49" s="11" t="str">
        <f aca="false">IF(OR(H49="",I49=""),"",IF(E49="Oui",H49+I49-60,H49+I49-55))</f>
        <v/>
      </c>
      <c r="K49" s="11" t="str">
        <f aca="false">IF(OR(H49="",I49=""),"",H49+I49)</f>
        <v/>
      </c>
      <c r="L49" s="13"/>
      <c r="M49" s="12"/>
      <c r="N49" s="12"/>
      <c r="O49" s="12"/>
      <c r="P49" s="11" t="str">
        <f aca="false">IF(L49="","",L49+60)</f>
        <v/>
      </c>
      <c r="Q49" s="10" t="str">
        <f aca="true">IF(H49="","",IF(L49&lt;&gt;"","✅ Vêlée",IF(TODAY()&gt;=K49,"⚠️ Terme dépassé",IF(TODAY()&gt;=J49,"🔶 Tarie",IF(TODAY()&gt;=H49,"🟢 Gestante","")))))</f>
        <v/>
      </c>
      <c r="R49" s="12"/>
    </row>
    <row r="50" customFormat="false" ht="15" hidden="false" customHeight="false" outlineLevel="0" collapsed="false">
      <c r="A50" s="7" t="n">
        <v>47</v>
      </c>
      <c r="B50" s="8"/>
      <c r="C50" s="8"/>
      <c r="D50" s="8"/>
      <c r="E50" s="8"/>
      <c r="F50" s="8"/>
      <c r="G50" s="8"/>
      <c r="H50" s="9"/>
      <c r="I50" s="10" t="str">
        <f aca="false">IF(C50="","",VLOOKUP(C50,Références!A:B,2,FALSE()))</f>
        <v/>
      </c>
      <c r="J50" s="11" t="str">
        <f aca="false">IF(OR(H50="",I50=""),"",IF(E50="Oui",H50+I50-60,H50+I50-55))</f>
        <v/>
      </c>
      <c r="K50" s="11" t="str">
        <f aca="false">IF(OR(H50="",I50=""),"",H50+I50)</f>
        <v/>
      </c>
      <c r="L50" s="9"/>
      <c r="M50" s="8"/>
      <c r="N50" s="8"/>
      <c r="O50" s="8"/>
      <c r="P50" s="11" t="str">
        <f aca="false">IF(L50="","",L50+60)</f>
        <v/>
      </c>
      <c r="Q50" s="10" t="str">
        <f aca="true">IF(H50="","",IF(L50&lt;&gt;"","✅ Vêlée",IF(TODAY()&gt;=K50,"⚠️ Terme dépassé",IF(TODAY()&gt;=J50,"🔶 Tarie",IF(TODAY()&gt;=H50,"🟢 Gestante","")))))</f>
        <v/>
      </c>
      <c r="R50" s="8"/>
    </row>
    <row r="51" customFormat="false" ht="15" hidden="false" customHeight="false" outlineLevel="0" collapsed="false">
      <c r="A51" s="12" t="n">
        <v>48</v>
      </c>
      <c r="B51" s="12"/>
      <c r="C51" s="12"/>
      <c r="D51" s="12"/>
      <c r="E51" s="12"/>
      <c r="F51" s="12"/>
      <c r="G51" s="12"/>
      <c r="H51" s="13"/>
      <c r="I51" s="10" t="str">
        <f aca="false">IF(C51="","",VLOOKUP(C51,Références!A:B,2,FALSE()))</f>
        <v/>
      </c>
      <c r="J51" s="11" t="str">
        <f aca="false">IF(OR(H51="",I51=""),"",IF(E51="Oui",H51+I51-60,H51+I51-55))</f>
        <v/>
      </c>
      <c r="K51" s="11" t="str">
        <f aca="false">IF(OR(H51="",I51=""),"",H51+I51)</f>
        <v/>
      </c>
      <c r="L51" s="13"/>
      <c r="M51" s="12"/>
      <c r="N51" s="12"/>
      <c r="O51" s="12"/>
      <c r="P51" s="11" t="str">
        <f aca="false">IF(L51="","",L51+60)</f>
        <v/>
      </c>
      <c r="Q51" s="10" t="str">
        <f aca="true">IF(H51="","",IF(L51&lt;&gt;"","✅ Vêlée",IF(TODAY()&gt;=K51,"⚠️ Terme dépassé",IF(TODAY()&gt;=J51,"🔶 Tarie",IF(TODAY()&gt;=H51,"🟢 Gestante","")))))</f>
        <v/>
      </c>
      <c r="R51" s="12"/>
    </row>
    <row r="52" customFormat="false" ht="15" hidden="false" customHeight="false" outlineLevel="0" collapsed="false">
      <c r="A52" s="7" t="n">
        <v>49</v>
      </c>
      <c r="B52" s="8"/>
      <c r="C52" s="8"/>
      <c r="D52" s="8"/>
      <c r="E52" s="8"/>
      <c r="F52" s="8"/>
      <c r="G52" s="8"/>
      <c r="H52" s="9"/>
      <c r="I52" s="10" t="str">
        <f aca="false">IF(C52="","",VLOOKUP(C52,Références!A:B,2,FALSE()))</f>
        <v/>
      </c>
      <c r="J52" s="11" t="str">
        <f aca="false">IF(OR(H52="",I52=""),"",IF(E52="Oui",H52+I52-60,H52+I52-55))</f>
        <v/>
      </c>
      <c r="K52" s="11" t="str">
        <f aca="false">IF(OR(H52="",I52=""),"",H52+I52)</f>
        <v/>
      </c>
      <c r="L52" s="9"/>
      <c r="M52" s="8"/>
      <c r="N52" s="8"/>
      <c r="O52" s="8"/>
      <c r="P52" s="11" t="str">
        <f aca="false">IF(L52="","",L52+60)</f>
        <v/>
      </c>
      <c r="Q52" s="10" t="str">
        <f aca="true">IF(H52="","",IF(L52&lt;&gt;"","✅ Vêlée",IF(TODAY()&gt;=K52,"⚠️ Terme dépassé",IF(TODAY()&gt;=J52,"🔶 Tarie",IF(TODAY()&gt;=H52,"🟢 Gestante","")))))</f>
        <v/>
      </c>
      <c r="R52" s="8"/>
    </row>
    <row r="53" customFormat="false" ht="15" hidden="false" customHeight="false" outlineLevel="0" collapsed="false">
      <c r="A53" s="12" t="n">
        <v>50</v>
      </c>
      <c r="B53" s="12"/>
      <c r="C53" s="12"/>
      <c r="D53" s="12"/>
      <c r="E53" s="12"/>
      <c r="F53" s="12"/>
      <c r="G53" s="12"/>
      <c r="H53" s="13"/>
      <c r="I53" s="10" t="str">
        <f aca="false">IF(C53="","",VLOOKUP(C53,Références!A:B,2,FALSE()))</f>
        <v/>
      </c>
      <c r="J53" s="11" t="str">
        <f aca="false">IF(OR(H53="",I53=""),"",IF(E53="Oui",H53+I53-60,H53+I53-55))</f>
        <v/>
      </c>
      <c r="K53" s="11" t="str">
        <f aca="false">IF(OR(H53="",I53=""),"",H53+I53)</f>
        <v/>
      </c>
      <c r="L53" s="13"/>
      <c r="M53" s="12"/>
      <c r="N53" s="12"/>
      <c r="O53" s="12"/>
      <c r="P53" s="11" t="str">
        <f aca="false">IF(L53="","",L53+60)</f>
        <v/>
      </c>
      <c r="Q53" s="10" t="str">
        <f aca="true">IF(H53="","",IF(L53&lt;&gt;"","✅ Vêlée",IF(TODAY()&gt;=K53,"⚠️ Terme dépassé",IF(TODAY()&gt;=J53,"🔶 Tarie",IF(TODAY()&gt;=H53,"🟢 Gestante","")))))</f>
        <v/>
      </c>
      <c r="R53" s="12"/>
    </row>
  </sheetData>
  <autoFilter ref="A3:R53"/>
  <mergeCells count="2">
    <mergeCell ref="A1:R1"/>
    <mergeCell ref="A2:R2"/>
  </mergeCells>
  <conditionalFormatting sqref="Q4:Q53">
    <cfRule type="expression" priority="2" aboveAverage="0" equalAverage="0" bottom="0" percent="0" rank="0" text="" dxfId="7">
      <formula>ISNUMBER(SEARCH("Terme",Q4))</formula>
    </cfRule>
    <cfRule type="expression" priority="3" aboveAverage="0" equalAverage="0" bottom="0" percent="0" rank="0" text="" dxfId="8">
      <formula>ISNUMBER(SEARCH("Tarie",Q4))</formula>
    </cfRule>
    <cfRule type="expression" priority="4" aboveAverage="0" equalAverage="0" bottom="0" percent="0" rank="0" text="" dxfId="9">
      <formula>ISNUMBER(SEARCH("Vêlée",Q4))</formula>
    </cfRule>
  </conditionalFormatting>
  <dataValidations count="5">
    <dataValidation allowBlank="true" errorStyle="stop" operator="between" prompt="Sélectionner la race" showDropDown="false" showErrorMessage="false" showInputMessage="false" sqref="C4:C53" type="list">
      <formula1>"Holstein,Charolaise,Limousine,Blonde d'Aquitaine,Aubrac,Salers,Montbéliarde,Normande,Prim'Holstein,Rouge des Prés,Parthenaise,Simmental,Abondance,Brune,Autre"</formula1>
      <formula2>0</formula2>
    </dataValidation>
    <dataValidation allowBlank="true" errorStyle="stop" operator="between" showDropDown="false" showErrorMessage="false" showInputMessage="false" sqref="G4:G53" type="list">
      <formula1>"Holstein,Charolaise,Limousine,Blonde d'Aquitaine,Aubrac,Salers,Montbéliarde,Normande,Prim'Holstein,Rouge des Prés,Parthenaise,Simmental,Abondance,Brune,Autre"</formula1>
      <formula2>0</formula2>
    </dataValidation>
    <dataValidation allowBlank="true" errorStyle="stop" operator="between" showDropDown="false" showErrorMessage="false" showInputMessage="false" sqref="E4:E53" type="list">
      <formula1>"Oui,Non"</formula1>
      <formula2>0</formula2>
    </dataValidation>
    <dataValidation allowBlank="true" errorStyle="stop" operator="between" showDropDown="false" showErrorMessage="false" showInputMessage="false" sqref="M4:M53" type="list">
      <formula1>"Mâle,Femelle,Jumeaux"</formula1>
      <formula2>0</formula2>
    </dataValidation>
    <dataValidation allowBlank="true" errorStyle="stop" operator="between" showDropDown="false" showErrorMessage="false" showInputMessage="false" sqref="O4:O53" type="list">
      <formula1>"1-Seule,2-Aide légère,3-Aide forte,4-Vétérinaire,5-Césarienne"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4C41"/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6" min="6" style="0" width="35"/>
  </cols>
  <sheetData>
    <row r="1" customFormat="false" ht="34.5" hidden="false" customHeight="true" outlineLevel="0" collapsed="false">
      <c r="A1" s="1" t="s">
        <v>35</v>
      </c>
      <c r="B1" s="1"/>
      <c r="C1" s="1"/>
      <c r="D1" s="1"/>
      <c r="E1" s="1"/>
      <c r="F1" s="1"/>
    </row>
    <row r="2" customFormat="false" ht="26.85" hidden="false" customHeight="false" outlineLevel="0" collapsed="false">
      <c r="A2" s="14" t="s">
        <v>36</v>
      </c>
      <c r="B2" s="14" t="s">
        <v>37</v>
      </c>
      <c r="C2" s="14" t="s">
        <v>38</v>
      </c>
      <c r="D2" s="14" t="s">
        <v>39</v>
      </c>
      <c r="E2" s="14" t="s">
        <v>40</v>
      </c>
      <c r="F2" s="14" t="s">
        <v>41</v>
      </c>
    </row>
    <row r="3" customFormat="false" ht="15" hidden="false" customHeight="false" outlineLevel="0" collapsed="false">
      <c r="A3" s="15" t="s">
        <v>42</v>
      </c>
      <c r="B3" s="15" t="n">
        <v>277</v>
      </c>
      <c r="C3" s="15" t="n">
        <v>271</v>
      </c>
      <c r="D3" s="15" t="n">
        <v>283</v>
      </c>
      <c r="E3" s="15" t="n">
        <v>60</v>
      </c>
      <c r="F3" s="15" t="s">
        <v>43</v>
      </c>
    </row>
    <row r="4" customFormat="false" ht="15" hidden="false" customHeight="false" outlineLevel="0" collapsed="false">
      <c r="A4" s="16" t="s">
        <v>44</v>
      </c>
      <c r="B4" s="16" t="n">
        <v>277</v>
      </c>
      <c r="C4" s="16" t="n">
        <v>271</v>
      </c>
      <c r="D4" s="16" t="n">
        <v>283</v>
      </c>
      <c r="E4" s="16" t="n">
        <v>60</v>
      </c>
      <c r="F4" s="16" t="s">
        <v>45</v>
      </c>
    </row>
    <row r="5" customFormat="false" ht="15" hidden="false" customHeight="false" outlineLevel="0" collapsed="false">
      <c r="A5" s="15" t="s">
        <v>46</v>
      </c>
      <c r="B5" s="15" t="n">
        <v>280</v>
      </c>
      <c r="C5" s="15" t="n">
        <v>274</v>
      </c>
      <c r="D5" s="15" t="n">
        <v>286</v>
      </c>
      <c r="E5" s="15" t="n">
        <v>60</v>
      </c>
      <c r="F5" s="15" t="s">
        <v>47</v>
      </c>
    </row>
    <row r="6" customFormat="false" ht="15" hidden="false" customHeight="false" outlineLevel="0" collapsed="false">
      <c r="A6" s="16" t="s">
        <v>48</v>
      </c>
      <c r="B6" s="16" t="n">
        <v>281</v>
      </c>
      <c r="C6" s="16" t="n">
        <v>275</v>
      </c>
      <c r="D6" s="16" t="n">
        <v>287</v>
      </c>
      <c r="E6" s="16" t="n">
        <v>60</v>
      </c>
      <c r="F6" s="16" t="s">
        <v>47</v>
      </c>
    </row>
    <row r="7" customFormat="false" ht="15" hidden="false" customHeight="false" outlineLevel="0" collapsed="false">
      <c r="A7" s="15" t="s">
        <v>49</v>
      </c>
      <c r="B7" s="15" t="n">
        <v>282</v>
      </c>
      <c r="C7" s="15" t="n">
        <v>276</v>
      </c>
      <c r="D7" s="15" t="n">
        <v>288</v>
      </c>
      <c r="E7" s="15" t="n">
        <v>58</v>
      </c>
      <c r="F7" s="15" t="s">
        <v>47</v>
      </c>
    </row>
    <row r="8" customFormat="false" ht="15" hidden="false" customHeight="false" outlineLevel="0" collapsed="false">
      <c r="A8" s="16" t="s">
        <v>50</v>
      </c>
      <c r="B8" s="16" t="n">
        <v>282</v>
      </c>
      <c r="C8" s="16" t="n">
        <v>276</v>
      </c>
      <c r="D8" s="16" t="n">
        <v>288</v>
      </c>
      <c r="E8" s="16" t="n">
        <v>58</v>
      </c>
      <c r="F8" s="16" t="s">
        <v>47</v>
      </c>
    </row>
    <row r="9" customFormat="false" ht="15" hidden="false" customHeight="false" outlineLevel="0" collapsed="false">
      <c r="A9" s="15" t="s">
        <v>51</v>
      </c>
      <c r="B9" s="15" t="n">
        <v>283</v>
      </c>
      <c r="C9" s="15" t="n">
        <v>277</v>
      </c>
      <c r="D9" s="15" t="n">
        <v>289</v>
      </c>
      <c r="E9" s="15" t="n">
        <v>58</v>
      </c>
      <c r="F9" s="15" t="s">
        <v>47</v>
      </c>
    </row>
    <row r="10" customFormat="false" ht="15" hidden="false" customHeight="false" outlineLevel="0" collapsed="false">
      <c r="A10" s="16" t="s">
        <v>52</v>
      </c>
      <c r="B10" s="16" t="n">
        <v>285</v>
      </c>
      <c r="C10" s="16" t="n">
        <v>279</v>
      </c>
      <c r="D10" s="16" t="n">
        <v>291</v>
      </c>
      <c r="E10" s="16" t="n">
        <v>55</v>
      </c>
      <c r="F10" s="16" t="s">
        <v>53</v>
      </c>
    </row>
    <row r="11" customFormat="false" ht="15" hidden="false" customHeight="false" outlineLevel="0" collapsed="false">
      <c r="A11" s="15" t="s">
        <v>54</v>
      </c>
      <c r="B11" s="15" t="n">
        <v>285</v>
      </c>
      <c r="C11" s="15" t="n">
        <v>279</v>
      </c>
      <c r="D11" s="15" t="n">
        <v>291</v>
      </c>
      <c r="E11" s="15" t="n">
        <v>55</v>
      </c>
      <c r="F11" s="15" t="s">
        <v>53</v>
      </c>
    </row>
    <row r="12" customFormat="false" ht="15" hidden="false" customHeight="false" outlineLevel="0" collapsed="false">
      <c r="A12" s="16" t="s">
        <v>55</v>
      </c>
      <c r="B12" s="16" t="n">
        <v>290</v>
      </c>
      <c r="C12" s="16" t="n">
        <v>284</v>
      </c>
      <c r="D12" s="16" t="n">
        <v>296</v>
      </c>
      <c r="E12" s="16" t="n">
        <v>55</v>
      </c>
      <c r="F12" s="16" t="s">
        <v>56</v>
      </c>
    </row>
    <row r="13" customFormat="false" ht="15" hidden="false" customHeight="false" outlineLevel="0" collapsed="false">
      <c r="A13" s="15" t="s">
        <v>57</v>
      </c>
      <c r="B13" s="15" t="n">
        <v>288</v>
      </c>
      <c r="C13" s="15" t="n">
        <v>282</v>
      </c>
      <c r="D13" s="15" t="n">
        <v>294</v>
      </c>
      <c r="E13" s="15" t="n">
        <v>55</v>
      </c>
      <c r="F13" s="15" t="s">
        <v>58</v>
      </c>
    </row>
    <row r="14" customFormat="false" ht="15" hidden="false" customHeight="false" outlineLevel="0" collapsed="false">
      <c r="A14" s="16" t="s">
        <v>59</v>
      </c>
      <c r="B14" s="16" t="n">
        <v>288</v>
      </c>
      <c r="C14" s="16" t="n">
        <v>282</v>
      </c>
      <c r="D14" s="16" t="n">
        <v>294</v>
      </c>
      <c r="E14" s="16" t="n">
        <v>55</v>
      </c>
      <c r="F14" s="16" t="s">
        <v>58</v>
      </c>
    </row>
    <row r="15" customFormat="false" ht="15" hidden="false" customHeight="false" outlineLevel="0" collapsed="false">
      <c r="A15" s="15" t="s">
        <v>60</v>
      </c>
      <c r="B15" s="15" t="n">
        <v>291</v>
      </c>
      <c r="C15" s="15" t="n">
        <v>285</v>
      </c>
      <c r="D15" s="15" t="n">
        <v>297</v>
      </c>
      <c r="E15" s="15" t="n">
        <v>55</v>
      </c>
      <c r="F15" s="15" t="s">
        <v>56</v>
      </c>
    </row>
    <row r="16" customFormat="false" ht="15" hidden="false" customHeight="false" outlineLevel="0" collapsed="false">
      <c r="A16" s="16" t="s">
        <v>61</v>
      </c>
      <c r="B16" s="16" t="n">
        <v>295</v>
      </c>
      <c r="C16" s="16" t="n">
        <v>289</v>
      </c>
      <c r="D16" s="16" t="n">
        <v>301</v>
      </c>
      <c r="E16" s="16" t="n">
        <v>55</v>
      </c>
      <c r="F16" s="16" t="s">
        <v>53</v>
      </c>
    </row>
    <row r="17" customFormat="false" ht="15" hidden="false" customHeight="false" outlineLevel="0" collapsed="false">
      <c r="A17" s="15" t="s">
        <v>62</v>
      </c>
      <c r="B17" s="15" t="n">
        <v>283</v>
      </c>
      <c r="C17" s="15" t="n">
        <v>277</v>
      </c>
      <c r="D17" s="15" t="n">
        <v>289</v>
      </c>
      <c r="E17" s="15" t="n">
        <v>58</v>
      </c>
      <c r="F17" s="15" t="s">
        <v>63</v>
      </c>
    </row>
    <row r="19" customFormat="false" ht="15" hidden="false" customHeight="false" outlineLevel="0" collapsed="false">
      <c r="A19" s="17" t="s">
        <v>64</v>
      </c>
      <c r="B19" s="17"/>
      <c r="C19" s="17"/>
      <c r="D19" s="17"/>
      <c r="E19" s="17"/>
      <c r="F19" s="17"/>
    </row>
    <row r="20" customFormat="false" ht="21.75" hidden="false" customHeight="true" outlineLevel="0" collapsed="false">
      <c r="A20" s="18" t="s">
        <v>65</v>
      </c>
      <c r="B20" s="18"/>
      <c r="C20" s="18"/>
      <c r="D20" s="18"/>
      <c r="E20" s="18"/>
      <c r="F20" s="18"/>
    </row>
    <row r="21" customFormat="false" ht="21.75" hidden="false" customHeight="true" outlineLevel="0" collapsed="false">
      <c r="A21" s="18" t="s">
        <v>66</v>
      </c>
      <c r="B21" s="18"/>
      <c r="C21" s="18"/>
      <c r="D21" s="18"/>
      <c r="E21" s="18"/>
      <c r="F21" s="18"/>
    </row>
    <row r="22" customFormat="false" ht="21.75" hidden="false" customHeight="true" outlineLevel="0" collapsed="false">
      <c r="A22" s="18" t="s">
        <v>67</v>
      </c>
      <c r="B22" s="18"/>
      <c r="C22" s="18"/>
      <c r="D22" s="18"/>
      <c r="E22" s="18"/>
      <c r="F22" s="18"/>
    </row>
    <row r="23" customFormat="false" ht="21.75" hidden="false" customHeight="true" outlineLevel="0" collapsed="false">
      <c r="A23" s="18" t="s">
        <v>68</v>
      </c>
      <c r="B23" s="18"/>
      <c r="C23" s="18"/>
      <c r="D23" s="18"/>
      <c r="E23" s="18"/>
      <c r="F23" s="18"/>
    </row>
    <row r="24" customFormat="false" ht="21.75" hidden="false" customHeight="true" outlineLevel="0" collapsed="false">
      <c r="A24" s="18" t="s">
        <v>69</v>
      </c>
      <c r="B24" s="18"/>
      <c r="C24" s="18"/>
      <c r="D24" s="18"/>
      <c r="E24" s="18"/>
      <c r="F24" s="18"/>
    </row>
    <row r="25" customFormat="false" ht="21.75" hidden="false" customHeight="true" outlineLevel="0" collapsed="false">
      <c r="A25" s="18" t="s">
        <v>70</v>
      </c>
      <c r="B25" s="18"/>
      <c r="C25" s="18"/>
      <c r="D25" s="18"/>
      <c r="E25" s="18"/>
      <c r="F25" s="18"/>
    </row>
    <row r="26" customFormat="false" ht="21.75" hidden="false" customHeight="true" outlineLevel="0" collapsed="false">
      <c r="A26" s="18" t="s">
        <v>71</v>
      </c>
      <c r="B26" s="18"/>
      <c r="C26" s="18"/>
      <c r="D26" s="18"/>
      <c r="E26" s="18"/>
      <c r="F26" s="18"/>
    </row>
    <row r="27" customFormat="false" ht="21.75" hidden="false" customHeight="true" outlineLevel="0" collapsed="false">
      <c r="A27" s="18" t="s">
        <v>72</v>
      </c>
      <c r="B27" s="18"/>
      <c r="C27" s="18"/>
      <c r="D27" s="18"/>
      <c r="E27" s="18"/>
      <c r="F27" s="18"/>
    </row>
    <row r="28" customFormat="false" ht="21.75" hidden="false" customHeight="true" outlineLevel="0" collapsed="false">
      <c r="A28" s="18" t="s">
        <v>73</v>
      </c>
      <c r="B28" s="18"/>
      <c r="C28" s="18"/>
      <c r="D28" s="18"/>
      <c r="E28" s="18"/>
      <c r="F28" s="18"/>
    </row>
  </sheetData>
  <mergeCells count="11">
    <mergeCell ref="A1:F1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A825"/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</cols>
  <sheetData>
    <row r="1" customFormat="false" ht="34.5" hidden="false" customHeight="true" outlineLevel="0" collapsed="false">
      <c r="A1" s="1" t="s">
        <v>74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9" t="s">
        <v>75</v>
      </c>
      <c r="B3" s="19" t="s">
        <v>76</v>
      </c>
    </row>
    <row r="4" customFormat="false" ht="27.75" hidden="false" customHeight="true" outlineLevel="0" collapsed="false">
      <c r="A4" s="20" t="s">
        <v>77</v>
      </c>
      <c r="B4" s="21" t="n">
        <f aca="false">COUNTA('📋 Suivi Reproduction'!B4:B53)</f>
        <v>0</v>
      </c>
    </row>
    <row r="5" customFormat="false" ht="27.75" hidden="false" customHeight="true" outlineLevel="0" collapsed="false">
      <c r="A5" s="20" t="s">
        <v>78</v>
      </c>
      <c r="B5" s="21" t="n">
        <f aca="false">COUNTIF('📋 Suivi Reproduction'!Q4:Q53,"*Gestante*")</f>
        <v>0</v>
      </c>
    </row>
    <row r="6" customFormat="false" ht="27.75" hidden="false" customHeight="true" outlineLevel="0" collapsed="false">
      <c r="A6" s="20" t="s">
        <v>79</v>
      </c>
      <c r="B6" s="21" t="n">
        <f aca="false">COUNTIF('📋 Suivi Reproduction'!Q4:Q53,"*Tarie*")</f>
        <v>0</v>
      </c>
    </row>
    <row r="7" customFormat="false" ht="27.75" hidden="false" customHeight="true" outlineLevel="0" collapsed="false">
      <c r="A7" s="20" t="s">
        <v>80</v>
      </c>
      <c r="B7" s="21" t="n">
        <f aca="false">COUNTIF('📋 Suivi Reproduction'!Q4:Q53,"*Vêlée*")</f>
        <v>0</v>
      </c>
    </row>
    <row r="8" customFormat="false" ht="27.75" hidden="false" customHeight="true" outlineLevel="0" collapsed="false">
      <c r="A8" s="20" t="s">
        <v>81</v>
      </c>
      <c r="B8" s="22" t="n">
        <f aca="false">COUNTIF('📋 Suivi Reproduction'!Q4:Q53,"*Terme*")</f>
        <v>0</v>
      </c>
    </row>
    <row r="9" customFormat="false" ht="27.75" hidden="false" customHeight="true" outlineLevel="0" collapsed="false">
      <c r="A9" s="23"/>
      <c r="B9" s="21"/>
    </row>
    <row r="10" customFormat="false" ht="27.75" hidden="false" customHeight="true" outlineLevel="0" collapsed="false">
      <c r="A10" s="20" t="s">
        <v>82</v>
      </c>
      <c r="B10" s="21" t="n">
        <f aca="false">COUNTIF('📋 Suivi Reproduction'!M4:M53,"Mâle")</f>
        <v>0</v>
      </c>
    </row>
    <row r="11" customFormat="false" ht="27.75" hidden="false" customHeight="true" outlineLevel="0" collapsed="false">
      <c r="A11" s="20" t="s">
        <v>83</v>
      </c>
      <c r="B11" s="21" t="n">
        <f aca="false">COUNTIF('📋 Suivi Reproduction'!M4:M53,"Femelle")</f>
        <v>0</v>
      </c>
    </row>
    <row r="12" customFormat="false" ht="27.75" hidden="false" customHeight="true" outlineLevel="0" collapsed="false">
      <c r="A12" s="20" t="s">
        <v>84</v>
      </c>
      <c r="B12" s="21" t="n">
        <f aca="false">COUNTIF('📋 Suivi Reproduction'!M4:M53,"Jumeaux")</f>
        <v>0</v>
      </c>
    </row>
    <row r="13" customFormat="false" ht="27.75" hidden="false" customHeight="true" outlineLevel="0" collapsed="false">
      <c r="A13" s="20" t="s">
        <v>85</v>
      </c>
      <c r="B13" s="21" t="n">
        <f aca="false">IFERROR(AVERAGE('📋 Suivi Reproduction'!N4:N53),0)</f>
        <v>0</v>
      </c>
    </row>
    <row r="14" customFormat="false" ht="27.75" hidden="false" customHeight="true" outlineLevel="0" collapsed="false">
      <c r="A14" s="23"/>
      <c r="B14" s="21"/>
    </row>
    <row r="15" customFormat="false" ht="27.75" hidden="false" customHeight="true" outlineLevel="0" collapsed="false">
      <c r="A15" s="20" t="s">
        <v>86</v>
      </c>
      <c r="B15" s="24" t="n">
        <f aca="true">IFERROR(MIN(IF('📋 Suivi Reproduction'!K4:K53&gt;TODAY(),'📋 Suivi Reproduction'!K4:K53)),"-")</f>
        <v>0</v>
      </c>
    </row>
    <row r="16" customFormat="false" ht="27.75" hidden="false" customHeight="true" outlineLevel="0" collapsed="false">
      <c r="A16" s="20" t="s">
        <v>87</v>
      </c>
      <c r="B16" s="24" t="n">
        <f aca="true">IFERROR(MIN(IF('📋 Suivi Reproduction'!J4:J53&gt;TODAY(),'📋 Suivi Reproduction'!J4:J53)),"-")</f>
        <v>0</v>
      </c>
    </row>
    <row r="18" customFormat="false" ht="15" hidden="false" customHeight="false" outlineLevel="0" collapsed="false">
      <c r="A18" s="17" t="s">
        <v>88</v>
      </c>
      <c r="B18" s="17"/>
      <c r="C18" s="17"/>
      <c r="D18" s="17"/>
      <c r="E18" s="17"/>
      <c r="F18" s="17"/>
    </row>
    <row r="19" customFormat="false" ht="39.55" hidden="false" customHeight="false" outlineLevel="0" collapsed="false">
      <c r="A19" s="25" t="s">
        <v>89</v>
      </c>
      <c r="B19" s="25" t="s">
        <v>90</v>
      </c>
      <c r="C19" s="25" t="s">
        <v>91</v>
      </c>
      <c r="D19" s="25" t="s">
        <v>33</v>
      </c>
    </row>
    <row r="20" customFormat="false" ht="15" hidden="false" customHeight="false" outlineLevel="0" collapsed="false">
      <c r="A20" s="26"/>
      <c r="B20" s="27"/>
      <c r="C20" s="26"/>
      <c r="D20" s="26"/>
    </row>
    <row r="21" customFormat="false" ht="15" hidden="false" customHeight="false" outlineLevel="0" collapsed="false">
      <c r="A21" s="26"/>
      <c r="B21" s="27"/>
      <c r="C21" s="26"/>
      <c r="D21" s="26"/>
    </row>
    <row r="22" customFormat="false" ht="15" hidden="false" customHeight="false" outlineLevel="0" collapsed="false">
      <c r="A22" s="26"/>
      <c r="B22" s="27"/>
      <c r="C22" s="26"/>
      <c r="D22" s="26"/>
    </row>
    <row r="23" customFormat="false" ht="15" hidden="false" customHeight="false" outlineLevel="0" collapsed="false">
      <c r="A23" s="26"/>
      <c r="B23" s="27"/>
      <c r="C23" s="26"/>
      <c r="D23" s="26"/>
    </row>
    <row r="24" customFormat="false" ht="15" hidden="false" customHeight="false" outlineLevel="0" collapsed="false">
      <c r="A24" s="26"/>
      <c r="B24" s="27"/>
      <c r="C24" s="26"/>
      <c r="D24" s="26"/>
    </row>
    <row r="25" customFormat="false" ht="15" hidden="false" customHeight="false" outlineLevel="0" collapsed="false">
      <c r="A25" s="26"/>
      <c r="B25" s="27"/>
      <c r="C25" s="26"/>
      <c r="D25" s="26"/>
    </row>
    <row r="26" customFormat="false" ht="15" hidden="false" customHeight="false" outlineLevel="0" collapsed="false">
      <c r="A26" s="26"/>
      <c r="B26" s="27"/>
      <c r="C26" s="26"/>
      <c r="D26" s="26"/>
    </row>
    <row r="27" customFormat="false" ht="15" hidden="false" customHeight="false" outlineLevel="0" collapsed="false">
      <c r="A27" s="26"/>
      <c r="B27" s="27"/>
      <c r="C27" s="26"/>
      <c r="D27" s="26"/>
    </row>
    <row r="28" customFormat="false" ht="15" hidden="false" customHeight="false" outlineLevel="0" collapsed="false">
      <c r="A28" s="26"/>
      <c r="B28" s="27"/>
      <c r="C28" s="26"/>
      <c r="D28" s="26"/>
    </row>
    <row r="29" customFormat="false" ht="15" hidden="false" customHeight="false" outlineLevel="0" collapsed="false">
      <c r="A29" s="26"/>
      <c r="B29" s="27"/>
      <c r="C29" s="26"/>
      <c r="D29" s="26"/>
    </row>
  </sheetData>
  <mergeCells count="2">
    <mergeCell ref="A1:F1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4C41"/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34.5" hidden="false" customHeight="true" outlineLevel="0" collapsed="false">
      <c r="A1" s="1" t="s">
        <v>92</v>
      </c>
      <c r="B1" s="1"/>
      <c r="C1" s="1"/>
      <c r="D1" s="1"/>
      <c r="E1" s="1"/>
      <c r="F1" s="1"/>
      <c r="G1" s="1"/>
      <c r="H1" s="1"/>
    </row>
    <row r="2" customFormat="false" ht="26.85" hidden="false" customHeight="false" outlineLevel="0" collapsed="false">
      <c r="A2" s="14" t="s">
        <v>17</v>
      </c>
      <c r="B2" s="14" t="s">
        <v>93</v>
      </c>
      <c r="C2" s="14" t="s">
        <v>36</v>
      </c>
      <c r="D2" s="14" t="s">
        <v>94</v>
      </c>
      <c r="E2" s="14" t="s">
        <v>95</v>
      </c>
      <c r="F2" s="14" t="s">
        <v>96</v>
      </c>
      <c r="G2" s="14" t="s">
        <v>97</v>
      </c>
      <c r="H2" s="14" t="s">
        <v>34</v>
      </c>
    </row>
    <row r="3" customFormat="false" ht="15" hidden="false" customHeight="false" outlineLevel="0" collapsed="false">
      <c r="A3" s="12" t="n">
        <v>1</v>
      </c>
      <c r="B3" s="12"/>
      <c r="C3" s="12"/>
      <c r="D3" s="12"/>
      <c r="E3" s="13"/>
      <c r="F3" s="12"/>
      <c r="G3" s="10" t="str">
        <f aca="false">IF(B3="","",COUNTIF('📋 Suivi Reproduction'!F:F,B3))</f>
        <v/>
      </c>
      <c r="H3" s="12"/>
    </row>
    <row r="4" customFormat="false" ht="15" hidden="false" customHeight="false" outlineLevel="0" collapsed="false">
      <c r="A4" s="7" t="n">
        <v>2</v>
      </c>
      <c r="B4" s="7"/>
      <c r="C4" s="7"/>
      <c r="D4" s="7"/>
      <c r="E4" s="28"/>
      <c r="F4" s="7"/>
      <c r="G4" s="10" t="str">
        <f aca="false">IF(B4="","",COUNTIF('📋 Suivi Reproduction'!F:F,B4))</f>
        <v/>
      </c>
      <c r="H4" s="7"/>
    </row>
    <row r="5" customFormat="false" ht="15" hidden="false" customHeight="false" outlineLevel="0" collapsed="false">
      <c r="A5" s="12" t="n">
        <v>3</v>
      </c>
      <c r="B5" s="12"/>
      <c r="C5" s="12"/>
      <c r="D5" s="12"/>
      <c r="E5" s="13"/>
      <c r="F5" s="12"/>
      <c r="G5" s="10" t="str">
        <f aca="false">IF(B5="","",COUNTIF('📋 Suivi Reproduction'!F:F,B5))</f>
        <v/>
      </c>
      <c r="H5" s="12"/>
    </row>
    <row r="6" customFormat="false" ht="15" hidden="false" customHeight="false" outlineLevel="0" collapsed="false">
      <c r="A6" s="7" t="n">
        <v>4</v>
      </c>
      <c r="B6" s="7"/>
      <c r="C6" s="7"/>
      <c r="D6" s="7"/>
      <c r="E6" s="28"/>
      <c r="F6" s="7"/>
      <c r="G6" s="10" t="str">
        <f aca="false">IF(B6="","",COUNTIF('📋 Suivi Reproduction'!F:F,B6))</f>
        <v/>
      </c>
      <c r="H6" s="7"/>
    </row>
    <row r="7" customFormat="false" ht="15" hidden="false" customHeight="false" outlineLevel="0" collapsed="false">
      <c r="A7" s="12" t="n">
        <v>5</v>
      </c>
      <c r="B7" s="12"/>
      <c r="C7" s="12"/>
      <c r="D7" s="12"/>
      <c r="E7" s="13"/>
      <c r="F7" s="12"/>
      <c r="G7" s="10" t="str">
        <f aca="false">IF(B7="","",COUNTIF('📋 Suivi Reproduction'!F:F,B7))</f>
        <v/>
      </c>
      <c r="H7" s="12"/>
    </row>
    <row r="8" customFormat="false" ht="15" hidden="false" customHeight="false" outlineLevel="0" collapsed="false">
      <c r="A8" s="7" t="n">
        <v>6</v>
      </c>
      <c r="B8" s="7"/>
      <c r="C8" s="7"/>
      <c r="D8" s="7"/>
      <c r="E8" s="28"/>
      <c r="F8" s="7"/>
      <c r="G8" s="10" t="str">
        <f aca="false">IF(B8="","",COUNTIF('📋 Suivi Reproduction'!F:F,B8))</f>
        <v/>
      </c>
      <c r="H8" s="7"/>
    </row>
    <row r="9" customFormat="false" ht="15" hidden="false" customHeight="false" outlineLevel="0" collapsed="false">
      <c r="A9" s="12" t="n">
        <v>7</v>
      </c>
      <c r="B9" s="12"/>
      <c r="C9" s="12"/>
      <c r="D9" s="12"/>
      <c r="E9" s="13"/>
      <c r="F9" s="12"/>
      <c r="G9" s="10" t="str">
        <f aca="false">IF(B9="","",COUNTIF('📋 Suivi Reproduction'!F:F,B9))</f>
        <v/>
      </c>
      <c r="H9" s="12"/>
    </row>
    <row r="10" customFormat="false" ht="15" hidden="false" customHeight="false" outlineLevel="0" collapsed="false">
      <c r="A10" s="7" t="n">
        <v>8</v>
      </c>
      <c r="B10" s="7"/>
      <c r="C10" s="7"/>
      <c r="D10" s="7"/>
      <c r="E10" s="28"/>
      <c r="F10" s="7"/>
      <c r="G10" s="10" t="str">
        <f aca="false">IF(B10="","",COUNTIF('📋 Suivi Reproduction'!F:F,B10))</f>
        <v/>
      </c>
      <c r="H10" s="7"/>
    </row>
    <row r="11" customFormat="false" ht="15" hidden="false" customHeight="false" outlineLevel="0" collapsed="false">
      <c r="A11" s="12" t="n">
        <v>9</v>
      </c>
      <c r="B11" s="12"/>
      <c r="C11" s="12"/>
      <c r="D11" s="12"/>
      <c r="E11" s="13"/>
      <c r="F11" s="12"/>
      <c r="G11" s="10" t="str">
        <f aca="false">IF(B11="","",COUNTIF('📋 Suivi Reproduction'!F:F,B11))</f>
        <v/>
      </c>
      <c r="H11" s="12"/>
    </row>
    <row r="12" customFormat="false" ht="15" hidden="false" customHeight="false" outlineLevel="0" collapsed="false">
      <c r="A12" s="7" t="n">
        <v>10</v>
      </c>
      <c r="B12" s="7"/>
      <c r="C12" s="7"/>
      <c r="D12" s="7"/>
      <c r="E12" s="28"/>
      <c r="F12" s="7"/>
      <c r="G12" s="10" t="str">
        <f aca="false">IF(B12="","",COUNTIF('📋 Suivi Reproduction'!F:F,B12))</f>
        <v/>
      </c>
      <c r="H12" s="7"/>
    </row>
    <row r="13" customFormat="false" ht="15" hidden="false" customHeight="false" outlineLevel="0" collapsed="false">
      <c r="A13" s="12" t="n">
        <v>11</v>
      </c>
      <c r="B13" s="12"/>
      <c r="C13" s="12"/>
      <c r="D13" s="12"/>
      <c r="E13" s="13"/>
      <c r="F13" s="12"/>
      <c r="G13" s="10" t="str">
        <f aca="false">IF(B13="","",COUNTIF('📋 Suivi Reproduction'!F:F,B13))</f>
        <v/>
      </c>
      <c r="H13" s="12"/>
    </row>
    <row r="14" customFormat="false" ht="15" hidden="false" customHeight="false" outlineLevel="0" collapsed="false">
      <c r="A14" s="7" t="n">
        <v>12</v>
      </c>
      <c r="B14" s="7"/>
      <c r="C14" s="7"/>
      <c r="D14" s="7"/>
      <c r="E14" s="28"/>
      <c r="F14" s="7"/>
      <c r="G14" s="10" t="str">
        <f aca="false">IF(B14="","",COUNTIF('📋 Suivi Reproduction'!F:F,B14))</f>
        <v/>
      </c>
      <c r="H14" s="7"/>
    </row>
    <row r="15" customFormat="false" ht="15" hidden="false" customHeight="false" outlineLevel="0" collapsed="false">
      <c r="A15" s="12" t="n">
        <v>13</v>
      </c>
      <c r="B15" s="12"/>
      <c r="C15" s="12"/>
      <c r="D15" s="12"/>
      <c r="E15" s="13"/>
      <c r="F15" s="12"/>
      <c r="G15" s="10" t="str">
        <f aca="false">IF(B15="","",COUNTIF('📋 Suivi Reproduction'!F:F,B15))</f>
        <v/>
      </c>
      <c r="H15" s="12"/>
    </row>
    <row r="16" customFormat="false" ht="15" hidden="false" customHeight="false" outlineLevel="0" collapsed="false">
      <c r="A16" s="7" t="n">
        <v>14</v>
      </c>
      <c r="B16" s="7"/>
      <c r="C16" s="7"/>
      <c r="D16" s="7"/>
      <c r="E16" s="28"/>
      <c r="F16" s="7"/>
      <c r="G16" s="10" t="str">
        <f aca="false">IF(B16="","",COUNTIF('📋 Suivi Reproduction'!F:F,B16))</f>
        <v/>
      </c>
      <c r="H16" s="7"/>
    </row>
    <row r="17" customFormat="false" ht="15" hidden="false" customHeight="false" outlineLevel="0" collapsed="false">
      <c r="A17" s="12" t="n">
        <v>15</v>
      </c>
      <c r="B17" s="12"/>
      <c r="C17" s="12"/>
      <c r="D17" s="12"/>
      <c r="E17" s="13"/>
      <c r="F17" s="12"/>
      <c r="G17" s="10" t="str">
        <f aca="false">IF(B17="","",COUNTIF('📋 Suivi Reproduction'!F:F,B17))</f>
        <v/>
      </c>
      <c r="H17" s="12"/>
    </row>
    <row r="18" customFormat="false" ht="15" hidden="false" customHeight="false" outlineLevel="0" collapsed="false">
      <c r="A18" s="7" t="n">
        <v>16</v>
      </c>
      <c r="B18" s="7"/>
      <c r="C18" s="7"/>
      <c r="D18" s="7"/>
      <c r="E18" s="28"/>
      <c r="F18" s="7"/>
      <c r="G18" s="10" t="str">
        <f aca="false">IF(B18="","",COUNTIF('📋 Suivi Reproduction'!F:F,B18))</f>
        <v/>
      </c>
      <c r="H18" s="7"/>
    </row>
    <row r="19" customFormat="false" ht="15" hidden="false" customHeight="false" outlineLevel="0" collapsed="false">
      <c r="A19" s="12" t="n">
        <v>17</v>
      </c>
      <c r="B19" s="12"/>
      <c r="C19" s="12"/>
      <c r="D19" s="12"/>
      <c r="E19" s="13"/>
      <c r="F19" s="12"/>
      <c r="G19" s="10" t="str">
        <f aca="false">IF(B19="","",COUNTIF('📋 Suivi Reproduction'!F:F,B19))</f>
        <v/>
      </c>
      <c r="H19" s="12"/>
    </row>
    <row r="20" customFormat="false" ht="15" hidden="false" customHeight="false" outlineLevel="0" collapsed="false">
      <c r="A20" s="7" t="n">
        <v>18</v>
      </c>
      <c r="B20" s="7"/>
      <c r="C20" s="7"/>
      <c r="D20" s="7"/>
      <c r="E20" s="28"/>
      <c r="F20" s="7"/>
      <c r="G20" s="10" t="str">
        <f aca="false">IF(B20="","",COUNTIF('📋 Suivi Reproduction'!F:F,B20))</f>
        <v/>
      </c>
      <c r="H20" s="7"/>
    </row>
    <row r="21" customFormat="false" ht="15" hidden="false" customHeight="false" outlineLevel="0" collapsed="false">
      <c r="A21" s="12" t="n">
        <v>19</v>
      </c>
      <c r="B21" s="12"/>
      <c r="C21" s="12"/>
      <c r="D21" s="12"/>
      <c r="E21" s="13"/>
      <c r="F21" s="12"/>
      <c r="G21" s="10" t="str">
        <f aca="false">IF(B21="","",COUNTIF('📋 Suivi Reproduction'!F:F,B21))</f>
        <v/>
      </c>
      <c r="H21" s="12"/>
    </row>
    <row r="22" customFormat="false" ht="15" hidden="false" customHeight="false" outlineLevel="0" collapsed="false">
      <c r="A22" s="7" t="n">
        <v>20</v>
      </c>
      <c r="B22" s="7"/>
      <c r="C22" s="7"/>
      <c r="D22" s="7"/>
      <c r="E22" s="28"/>
      <c r="F22" s="7"/>
      <c r="G22" s="10" t="str">
        <f aca="false">IF(B22="","",COUNTIF('📋 Suivi Reproduction'!F:F,B22))</f>
        <v/>
      </c>
      <c r="H22" s="7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2026-02-22T20:02:55Z</dcterms:created>
  <dc:creator>openpyxl</dc:creator>
  <dc:description/>
  <dc:language>en-US</dc:language>
  <cp:lastModifiedBy/>
  <dcterms:modified xsi:type="dcterms:W3CDTF">2026-02-22T20:02:55Z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